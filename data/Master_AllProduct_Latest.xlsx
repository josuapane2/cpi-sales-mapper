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ocuments\CPIN-Data\CPIN-Data\006-SellOut Monitoring\Product&amp;Pricelist\"/>
    </mc:Choice>
  </mc:AlternateContent>
  <xr:revisionPtr revIDLastSave="0" documentId="13_ncr:1_{D49B339F-4FC6-48DD-851B-39DBD33F8DAA}" xr6:coauthVersionLast="47" xr6:coauthVersionMax="47" xr10:uidLastSave="{00000000-0000-0000-0000-000000000000}"/>
  <bookViews>
    <workbookView xWindow="-110" yWindow="-110" windowWidth="19420" windowHeight="10300" xr2:uid="{56D9559A-AC65-47C3-8E59-8B1E4F475367}"/>
  </bookViews>
  <sheets>
    <sheet name="master_PL" sheetId="2" r:id="rId1"/>
    <sheet name="master LP" sheetId="1" state="hidden" r:id="rId2"/>
  </sheets>
  <definedNames>
    <definedName name="_xlnm._FilterDatabase" localSheetId="0" hidden="1">master_PL!$A$2:$E$222</definedName>
    <definedName name="Excel_BuiltIn_Print_Area_5">#REF!</definedName>
    <definedName name="Excel_BuiltIn_Print_Area_6">#REF!</definedName>
    <definedName name="_xlnm.Print_Area" localSheetId="1">'master LP'!$A$1:$I$55</definedName>
    <definedName name="_xlnm.Print_Area" localSheetId="0">master_PL!$A$1:$C$51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16" i="1"/>
  <c r="J17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</calcChain>
</file>

<file path=xl/sharedStrings.xml><?xml version="1.0" encoding="utf-8"?>
<sst xmlns="http://schemas.openxmlformats.org/spreadsheetml/2006/main" count="1052" uniqueCount="593">
  <si>
    <t>AMOGI NAGET KOMBINASI 1000 GR</t>
  </si>
  <si>
    <t>AMOGI NAGET KOMBINASI 450 GR</t>
  </si>
  <si>
    <t>AMOGI NAGET KOMBINASI 250 GR</t>
  </si>
  <si>
    <t>NEW MATERIAL</t>
  </si>
  <si>
    <t>FURTHER</t>
  </si>
  <si>
    <t>AMOGI</t>
  </si>
  <si>
    <t xml:space="preserve"> SOSIS AYAM KOMBINASI</t>
  </si>
  <si>
    <t xml:space="preserve"> ASIMO SOSIS AYAM KOMBINASI 1000G EXTRA 2</t>
  </si>
  <si>
    <t xml:space="preserve"> ASIMO SOSIS AYAM KOMBINASI 500G EXTRA 1</t>
  </si>
  <si>
    <t>SAUSAGES</t>
  </si>
  <si>
    <t xml:space="preserve"> ASIMO NAGET KOMBINASI 1000 GR BENTUK S</t>
  </si>
  <si>
    <t xml:space="preserve"> ASIMO NAGET KOMBINASI 450 GR BENTUK S</t>
  </si>
  <si>
    <t xml:space="preserve"> ASIMO NAGET KOMBINASI 250 GR BENTUK S</t>
  </si>
  <si>
    <t xml:space="preserve"> NAGET KOMBINASI</t>
  </si>
  <si>
    <t xml:space="preserve"> STIK KOMBINASI</t>
  </si>
  <si>
    <t xml:space="preserve"> STIK KOMBINASI </t>
  </si>
  <si>
    <t>ASIMO</t>
  </si>
  <si>
    <t xml:space="preserve"> OKEY BEEF AND CHICK BURGER </t>
  </si>
  <si>
    <t xml:space="preserve"> BURGER MINI </t>
  </si>
  <si>
    <t xml:space="preserve"> SOSIS BAKAR MINI NEW</t>
  </si>
  <si>
    <t xml:space="preserve"> SOSIS BAKAR JUMBO NEW</t>
  </si>
  <si>
    <t xml:space="preserve"> CHICKEN BALL</t>
  </si>
  <si>
    <t xml:space="preserve"> OKEY SOSIS AYAM KOMBINASI 500G EXTRA 1</t>
  </si>
  <si>
    <t xml:space="preserve"> OKEY SOSIS AYAM KOMBINASI 1000G EXTRA 2</t>
  </si>
  <si>
    <t xml:space="preserve"> CHICKEN SAUSAGE</t>
  </si>
  <si>
    <t xml:space="preserve"> NUGGET</t>
  </si>
  <si>
    <t xml:space="preserve"> STICK</t>
  </si>
  <si>
    <t>OKEY</t>
  </si>
  <si>
    <t>KOIN KOMBINASI</t>
  </si>
  <si>
    <t xml:space="preserve">KOIN KOMBINASI </t>
  </si>
  <si>
    <t>CHICKEN STIK</t>
  </si>
  <si>
    <t>CHICKEN NAGET</t>
  </si>
  <si>
    <t>AKUMO</t>
  </si>
  <si>
    <t xml:space="preserve"> CHICKEN &amp; FISH SIOMAY </t>
  </si>
  <si>
    <t xml:space="preserve"> CHICKEN &amp; FISH SIOMAY</t>
  </si>
  <si>
    <t>DIMSUM</t>
  </si>
  <si>
    <t xml:space="preserve"> CHAMP SOSIS BAKAR MINI 500 G NEW</t>
  </si>
  <si>
    <t xml:space="preserve"> CHAMP SOSIS BAKAR JUMBO 500 G NEW</t>
  </si>
  <si>
    <t xml:space="preserve"> </t>
  </si>
  <si>
    <t xml:space="preserve"> SOSIS AYAM KOMBINASI RASA MADU</t>
  </si>
  <si>
    <t xml:space="preserve"> FRANKFURTER SAUSAGE</t>
  </si>
  <si>
    <t xml:space="preserve"> BEEF BALL 500g</t>
  </si>
  <si>
    <t xml:space="preserve"> BEEF SAUSAGE (GORENG) 375g</t>
  </si>
  <si>
    <t xml:space="preserve"> BEEF SAUSAGES ( SERBAGUNA ) 375g</t>
  </si>
  <si>
    <t xml:space="preserve"> BEEF SAUSAGES ( SERBAGUNA )150g</t>
  </si>
  <si>
    <t xml:space="preserve"> CHICKEN SAUSAGES</t>
  </si>
  <si>
    <t xml:space="preserve"> CHICKEN SAUSAGES </t>
  </si>
  <si>
    <t xml:space="preserve"> CHICKEN SAUSAGES 3 PCS</t>
  </si>
  <si>
    <t>CHAMP CHISCKEN SAUSAGE 500GR</t>
  </si>
  <si>
    <t xml:space="preserve"> CHICKEN MEATBALL </t>
  </si>
  <si>
    <t xml:space="preserve"> CHICKEN SAUSAGES 1 KG</t>
  </si>
  <si>
    <t xml:space="preserve"> CHAMP CRUNCHY NUGGET 450 GR</t>
  </si>
  <si>
    <t xml:space="preserve"> CHAMP CRUNCHY HOTZZ 300 GR</t>
  </si>
  <si>
    <t xml:space="preserve"> CHAMP CRUNCHY NUGGET 225 GR</t>
  </si>
  <si>
    <t xml:space="preserve"> NUGGET HOTZZ LEVEL 5</t>
  </si>
  <si>
    <t xml:space="preserve"> CHICKEN NUGGET 123</t>
  </si>
  <si>
    <t xml:space="preserve"> BURGER</t>
  </si>
  <si>
    <t>NAGET ABC KOMBINASI</t>
  </si>
  <si>
    <t>NUGGET COIN</t>
  </si>
  <si>
    <t xml:space="preserve"> NAGET KOMBINASI BENTUK STIK</t>
  </si>
  <si>
    <t xml:space="preserve"> NAGET AYAM KOMBINASI</t>
  </si>
  <si>
    <t>CHAMP</t>
  </si>
  <si>
    <t xml:space="preserve"> RAMEN BEKU </t>
  </si>
  <si>
    <t>NOODLE</t>
  </si>
  <si>
    <t>FIESTA RTG BEEF BALL WITH CHEESE LAVA</t>
  </si>
  <si>
    <t>FIESTA RTG BEEF BALL WITH MENTAI LAVA</t>
  </si>
  <si>
    <t>FIESTA RTG SAUSAGE WITH MENTAI LAVA</t>
  </si>
  <si>
    <t>FIESTA RTG SAUSAGE HICKORY SAUCE</t>
  </si>
  <si>
    <t>FIESTA RTG SAUSAGE WITH CHEESE LAVA</t>
  </si>
  <si>
    <t>FIESTA RTG SAUSAGE WITH HOT LAVA</t>
  </si>
  <si>
    <t>FIESTA RTG CHICKEN SAUSAGES CLASSIC BRATWURST CH</t>
  </si>
  <si>
    <t>FIESTA RTG CHICKEN SAUSAGES CHEESY MELTS CH</t>
  </si>
  <si>
    <t>FIESTA RTG CHICKEN SAUSAGES SPICY KOREAN SAUCE CH</t>
  </si>
  <si>
    <t>FIESTA RTG CHICKEN SAUSAGES CLASSIC BRATWURST</t>
  </si>
  <si>
    <t>FIESTA RTG CHICKEN SAUSAGES CHEESY MELTS</t>
  </si>
  <si>
    <t>FIESTA RTG CHICKEN SAUSAGES SPICY KOREAN SAUCE</t>
  </si>
  <si>
    <t xml:space="preserve"> FIESTA READY TO GO BAKSO BBQ CHILL</t>
  </si>
  <si>
    <t xml:space="preserve"> FIESTA READY TO GO BAKSO KEJU CHILL</t>
  </si>
  <si>
    <t xml:space="preserve"> FIESTA READY TO GO SIOMAY CHILL</t>
  </si>
  <si>
    <t xml:space="preserve"> FIESTA READY TO GO SAUSAGE CHILL</t>
  </si>
  <si>
    <t xml:space="preserve"> FIESTA READY TO GO BAKSO BBQ </t>
  </si>
  <si>
    <t xml:space="preserve"> FIESTA READY TO GO BAKSO KEJU </t>
  </si>
  <si>
    <t xml:space="preserve"> FIESTA READY TO GO SIOMAY </t>
  </si>
  <si>
    <t xml:space="preserve"> FIESTA READY TO GO SAUSAGE </t>
  </si>
  <si>
    <t>READY TO GO</t>
  </si>
  <si>
    <t>FIESTA RTS BEEF BULGOGI 300G 8PAC</t>
  </si>
  <si>
    <t>FIESTA RTS BEEF BLACKPEPPER 300G 8PAC</t>
  </si>
  <si>
    <t>FIESTA RTS CHIC W SAMBAL MATAH 300G 8PAC</t>
  </si>
  <si>
    <t>FIESTA RTS CHIC W RUJAK SAUCE 300G 8PAC</t>
  </si>
  <si>
    <t>FIESTA RTS BEEF YAKINIKU 300G 8PAC</t>
  </si>
  <si>
    <t>FIESTA RTS BEEF RENDANG 300G 8PAC</t>
  </si>
  <si>
    <t>FIESTA RTS CHICKEN RENDANG 300G 8PAC</t>
  </si>
  <si>
    <t>FIESTA RTS CHICKEN TERIYAKI 300GR 8PAC</t>
  </si>
  <si>
    <t>READY TO SERVE</t>
  </si>
  <si>
    <t xml:space="preserve">FIESTA CHEESY BEEF PIZZA </t>
  </si>
  <si>
    <t xml:space="preserve">FIESTA CHICKEN SAUSAGE &amp; C. BALL PIZZA </t>
  </si>
  <si>
    <t>FIESTA RICE W BEEF BLACKPEPPER 320G 6PC</t>
  </si>
  <si>
    <t>FIESTA BEEF RENDANG W RICE 320G 6PC</t>
  </si>
  <si>
    <t>FIESTA BEEF BULGOGI W RICE 320G 6PC</t>
  </si>
  <si>
    <t>FIESTA BEEF YAKINIKU W RICE 320G 6PC</t>
  </si>
  <si>
    <t>FIESTA SPAGHETTI CARBONARA 300G 6PC</t>
  </si>
  <si>
    <t>FS ITALIAN MEATBALL SPAGHETTI 320G 6PC</t>
  </si>
  <si>
    <t>FS SPAGHETTI CHICKEN BOLOGNESE 320G 6PC</t>
  </si>
  <si>
    <t>FIESTA CHICKEN MUSHROOM W NOODLE 300G 6PC</t>
  </si>
  <si>
    <t>FIESTA CHICKEN CURRY W NOODLE 300G 6PC</t>
  </si>
  <si>
    <t>FIESTA SCB &amp; C SAUSAGE FRIED RICE 320G 6PC</t>
  </si>
  <si>
    <t>FIESTA HAINANESE CHICKEN RICE 320G 6PC</t>
  </si>
  <si>
    <t>FIESTA TUMERIC WITH POPBITES 320G 6PC</t>
  </si>
  <si>
    <t>FS RICE W POPBITES SAMBAL MATAH 320G 6PC</t>
  </si>
  <si>
    <t>FIESTA COCONUT RICE W SPICYCHICK 320G 6PC</t>
  </si>
  <si>
    <t>FIESTA RICE W CHICKEN SATAY 320G 6PC</t>
  </si>
  <si>
    <t>FIESTA RICE W CH DONBURI 320G 6PC</t>
  </si>
  <si>
    <t>FIESTA RICE W CHICKEN CURRY 320G 6PC</t>
  </si>
  <si>
    <t>FIESTA RICE W CHICKEN CHEESE BULDAK 320G 6PC</t>
  </si>
  <si>
    <t>FIESTA RICE W KARAGE &amp; SSS 320G 6PC</t>
  </si>
  <si>
    <t>FIESTA CHICKEN TANDORI W RICE 320G 6PC</t>
  </si>
  <si>
    <t>FIESTA CHICKEN TERIYAKI W RICE 320G 6PC</t>
  </si>
  <si>
    <t>FIESTA CHICKEN RENDANG W RICE 320G 6PC</t>
  </si>
  <si>
    <t xml:space="preserve">FIESTA RICE WITH KOREAN BBQ CHICKEN </t>
  </si>
  <si>
    <t xml:space="preserve">FIESTA RICE WITH CHICKEN RUJAK </t>
  </si>
  <si>
    <t xml:space="preserve">FIESTA RICE WITH GEPREK CHICKEN </t>
  </si>
  <si>
    <t xml:space="preserve">FIESTA TRUFFLE GYUDON </t>
  </si>
  <si>
    <t>READY MEAL</t>
  </si>
  <si>
    <t xml:space="preserve">BATTER COATED </t>
  </si>
  <si>
    <t>CRINKLE CUT</t>
  </si>
  <si>
    <t>STRAIGHT CUT</t>
  </si>
  <si>
    <t>SHOESTRING 2 KG</t>
  </si>
  <si>
    <t>SHOESTRING</t>
  </si>
  <si>
    <t>FRENCH FRIES</t>
  </si>
  <si>
    <t xml:space="preserve"> CHICKEN TOFU</t>
  </si>
  <si>
    <t xml:space="preserve"> GYOZA</t>
  </si>
  <si>
    <t>SIOMAY</t>
  </si>
  <si>
    <t xml:space="preserve"> FRANKFURTER SAUSAGE </t>
  </si>
  <si>
    <t xml:space="preserve"> ORIGINAL SAUSAGE </t>
  </si>
  <si>
    <t xml:space="preserve"> WIENER SAUSAGE </t>
  </si>
  <si>
    <t xml:space="preserve"> BOCKWURST SAUSAGE </t>
  </si>
  <si>
    <t xml:space="preserve"> BEEF SLICE </t>
  </si>
  <si>
    <t xml:space="preserve"> CHICKEN SLICE </t>
  </si>
  <si>
    <t xml:space="preserve"> SOSIS CURRYWURST</t>
  </si>
  <si>
    <t xml:space="preserve"> CHEESE SAUSAGE</t>
  </si>
  <si>
    <t xml:space="preserve"> SOSIS BRATWURST</t>
  </si>
  <si>
    <t>SCB</t>
  </si>
  <si>
    <t xml:space="preserve">CHICKEN SAUSAGES </t>
  </si>
  <si>
    <t xml:space="preserve">CHICKEN MEATBALL </t>
  </si>
  <si>
    <t xml:space="preserve">SAUSAGES </t>
  </si>
  <si>
    <t>FIESTA</t>
  </si>
  <si>
    <t xml:space="preserve"> FIESTA YAKINIKU RICE BITES</t>
  </si>
  <si>
    <t xml:space="preserve"> FIESTA CHEESY ITALIAN RICE BITES</t>
  </si>
  <si>
    <t xml:space="preserve"> FIESTA CHEESY BOMBS CHICKEN NUGGET</t>
  </si>
  <si>
    <t xml:space="preserve"> CRISPY BUBBLE KATSU</t>
  </si>
  <si>
    <t xml:space="preserve"> CRISPY BUBBLE NUGGET </t>
  </si>
  <si>
    <t xml:space="preserve"> HOT &amp; CRISPY FRIED CHICKEN </t>
  </si>
  <si>
    <t xml:space="preserve"> GARLIC CHEESE </t>
  </si>
  <si>
    <t xml:space="preserve"> SPICY KARAGE</t>
  </si>
  <si>
    <t xml:space="preserve"> SPICY NUGGET</t>
  </si>
  <si>
    <t xml:space="preserve"> VOLCANO CHEESE</t>
  </si>
  <si>
    <t xml:space="preserve"> HONEY MUSTARD</t>
  </si>
  <si>
    <t xml:space="preserve"> MIXED VEGETABLES NUGGET</t>
  </si>
  <si>
    <t xml:space="preserve"> CRISPY BURGER</t>
  </si>
  <si>
    <t xml:space="preserve"> CHEESY LOVER</t>
  </si>
  <si>
    <t xml:space="preserve"> KEECHO</t>
  </si>
  <si>
    <t xml:space="preserve"> CHEESY CHICKEN WITH BROCCOLI</t>
  </si>
  <si>
    <t xml:space="preserve"> DELISTRIPE</t>
  </si>
  <si>
    <t xml:space="preserve"> NUGGET ZOO</t>
  </si>
  <si>
    <t xml:space="preserve"> NUGGET PIZZABC</t>
  </si>
  <si>
    <t xml:space="preserve"> NUGGET CHEESE 123</t>
  </si>
  <si>
    <t xml:space="preserve"> CRISPY CRUNCH</t>
  </si>
  <si>
    <t xml:space="preserve"> FIESTA CHICKEN POK POK</t>
  </si>
  <si>
    <t xml:space="preserve"> NUGGET DINO</t>
  </si>
  <si>
    <t xml:space="preserve"> NUGGET HAPPY STAR</t>
  </si>
  <si>
    <t xml:space="preserve"> SPICY WING</t>
  </si>
  <si>
    <t xml:space="preserve"> SPICY CHICK</t>
  </si>
  <si>
    <t xml:space="preserve"> FRIED CHICKEN</t>
  </si>
  <si>
    <t xml:space="preserve"> STIKIE</t>
  </si>
  <si>
    <t xml:space="preserve"> SCHNITZEL</t>
  </si>
  <si>
    <t xml:space="preserve"> KARAGE</t>
  </si>
  <si>
    <t xml:space="preserve"> CRISPY WING WITH SPICY GLAZYNG SAUCE</t>
  </si>
  <si>
    <t xml:space="preserve">  POP BITES</t>
  </si>
  <si>
    <t>CORDON BLEU BBQ SAUCE</t>
  </si>
  <si>
    <t>CHICKEN RING WITH MAYONAISE</t>
  </si>
  <si>
    <t>SPICY WING</t>
  </si>
  <si>
    <t>STIKIE WITH SWEET CHILLI SAUCE</t>
  </si>
  <si>
    <t>NUGGET WITH PINEAPPLE SAUCE</t>
  </si>
  <si>
    <t>KATSU WITH CHEESE SAUCE</t>
  </si>
  <si>
    <t>KARAGE WITH CHILLI SAUCE</t>
  </si>
  <si>
    <t>GOLDEN FIESTA</t>
  </si>
  <si>
    <t>kg/Pack</t>
  </si>
  <si>
    <t>Rp/BOX</t>
  </si>
  <si>
    <t>Rp/KG</t>
  </si>
  <si>
    <t>Rp/PACK</t>
  </si>
  <si>
    <t>KG/BOX</t>
  </si>
  <si>
    <t>PACK/BOX</t>
  </si>
  <si>
    <t>GR/PACK</t>
  </si>
  <si>
    <t>PRICE LIST (RBP)</t>
  </si>
  <si>
    <t>SIZE</t>
  </si>
  <si>
    <t>PRODUCT</t>
  </si>
  <si>
    <t>KODE  SAP</t>
  </si>
  <si>
    <t>NO.</t>
  </si>
  <si>
    <t>AREA : LUAR ( JAWA &amp; SUMATERA )</t>
  </si>
  <si>
    <t>PRICE LIST - MITRA</t>
  </si>
  <si>
    <t>Fiesta Chicken Ball 300 GR Fr</t>
  </si>
  <si>
    <t>Fiesta Chicken Ball 500 GR Fr</t>
  </si>
  <si>
    <t>Fiesta Chicken Sausages 300 GR Fr</t>
  </si>
  <si>
    <t>Fiesta Chicken Sausages 500 GR Fr</t>
  </si>
  <si>
    <t>Fiesta Chicken Tofu 400 G</t>
  </si>
  <si>
    <t>Fiesta French F Shoestring 2000 GR</t>
  </si>
  <si>
    <t>Fiesta Rice With Geprek Chicken 320G</t>
  </si>
  <si>
    <t>Fiesta Hainanese Chicken Rice 320G 6PC</t>
  </si>
  <si>
    <t>Fiesta RTG Siomay 54G</t>
  </si>
  <si>
    <t>Fiesta RTG Chick S.Spicy Korean Sauce60G</t>
  </si>
  <si>
    <t>Fiesta RTG Chicken S. Cheesy Melts 65G</t>
  </si>
  <si>
    <t>Fiesta RTG Chick S.Classic Bratwurst 65G</t>
  </si>
  <si>
    <t>Champs Chicken Sausage 1000G Fr</t>
  </si>
  <si>
    <t>Champ Chicken Sausage 3 Pcs Fr</t>
  </si>
  <si>
    <t>Champ Chicken Sausage 150 GR Fr</t>
  </si>
  <si>
    <t>Champ Chicken Sausage 375 GR Fr</t>
  </si>
  <si>
    <t>Amogi Naget Kombinasi 250 GR</t>
  </si>
  <si>
    <t>Amogi Naget Kombinasi 1000 GR</t>
  </si>
  <si>
    <t>Amogi Naget Kombinasi 450 GR</t>
  </si>
  <si>
    <t>Asimo Sosis Ayam Kombinasi 750 Gr</t>
  </si>
  <si>
    <t>Asimo Sosis Ayam Kombinasi 375 Gr</t>
  </si>
  <si>
    <t>Asimo Naget Kombinasi 450 G Bentuk S</t>
  </si>
  <si>
    <t>Asimo Naget Kombinasi 1000 G Bentuk S</t>
  </si>
  <si>
    <t>Asimo  Stik Kombinasi 250 g</t>
  </si>
  <si>
    <t>Asimo Stik Kombinasi 500 g</t>
  </si>
  <si>
    <t>Asimo Stik Kombinasi 1000 g</t>
  </si>
  <si>
    <t>Asimo Naget Kombinasi 500 Gr</t>
  </si>
  <si>
    <t>Asimo Naget Kombinasi 250 Gr</t>
  </si>
  <si>
    <t>Okey Chicken Sausage 1000G</t>
  </si>
  <si>
    <t>Okey Chicken Sausage 500G</t>
  </si>
  <si>
    <t>Okey Chicken Ball 500G</t>
  </si>
  <si>
    <t>Okey Chicken Ball 1000G</t>
  </si>
  <si>
    <t>Asimo Sosis Ayam Kombinasi 500G</t>
  </si>
  <si>
    <t>Asimo Sosis Ayam Kombinasi 1000G</t>
  </si>
  <si>
    <t>Golden Fiesta Karage Chilli Sauce 500Gr</t>
  </si>
  <si>
    <t>Golden Fiesta Katsu W Cheese Sauce 500 G</t>
  </si>
  <si>
    <t>Golden Fiesta Nugget w Pineapple Sauce</t>
  </si>
  <si>
    <t>Golden Fiesta Stikie w Swt Chl Sc 500gr</t>
  </si>
  <si>
    <t>Golden Fiesta Spicy Wing 500 GR</t>
  </si>
  <si>
    <t>Golden Fiesta C.Ring W Mayonaise 500 G</t>
  </si>
  <si>
    <t>Golden Fiesta Cordon Bleu BBQSauce 500Gr</t>
  </si>
  <si>
    <t>Golden Fiesta  Pop Bites 500Gr</t>
  </si>
  <si>
    <t>GF.Crispy Wing W.SP.Glazyng Sauce 500 G</t>
  </si>
  <si>
    <t>FIESTA KARAGE 400Gr</t>
  </si>
  <si>
    <t>FIESTA KARAGE 200Gr</t>
  </si>
  <si>
    <t>FIESTA SCHNITZEL 400 GR</t>
  </si>
  <si>
    <t>Fiesta Chicken Nugget 400G</t>
  </si>
  <si>
    <t>Fiesta Chicken Nugget 200G</t>
  </si>
  <si>
    <t>Fiesta Stikie 400G</t>
  </si>
  <si>
    <t>Fiesta Stikie 200G</t>
  </si>
  <si>
    <t>FIESTA FRIED CHICKEN 400Gr</t>
  </si>
  <si>
    <t>FIESTA SPICY CHICK 400 G</t>
  </si>
  <si>
    <t>Fiesta Spicy Wing 400 G</t>
  </si>
  <si>
    <t>FIESTA NUGGET HAPPY STAR 400 G</t>
  </si>
  <si>
    <t>Fiesta Nugget Dino 400 G</t>
  </si>
  <si>
    <t>Fiesta Pok Pok 400Gr</t>
  </si>
  <si>
    <t>Fiesta DS Chrispy Crunch 300 GR</t>
  </si>
  <si>
    <t>FIESTA NUGGET CHEESE 123 400 G</t>
  </si>
  <si>
    <t>FIESTA NUGGET PIZZABC 400 G</t>
  </si>
  <si>
    <t>Fiesta Nugget Zoo 400 G</t>
  </si>
  <si>
    <t>FIESTA DELISTRIPE 400 G</t>
  </si>
  <si>
    <t>FIESTA CHEESY CHICKEN WITH BROCCOLI 400G</t>
  </si>
  <si>
    <t>Fiesta Keecho 400G</t>
  </si>
  <si>
    <t>Fiesta Cheesy Lover 400 G</t>
  </si>
  <si>
    <t>Fiesta Crispy Burger 360 G</t>
  </si>
  <si>
    <t>Fiesta Mix Vegetable Nugget 400 G</t>
  </si>
  <si>
    <t>FIESTA HONEY MUSTARD 400 G</t>
  </si>
  <si>
    <t>Fiesta Volcano Cheese 400 G</t>
  </si>
  <si>
    <t>Fiesta Spicy Nugget 400 G</t>
  </si>
  <si>
    <t>FIESTA SPICY KARAGE 400 GR</t>
  </si>
  <si>
    <t>FIESTA GARLIC CHEESE 400 G</t>
  </si>
  <si>
    <t>Fiesta Hot &amp; Crispy Fried Chicken 400 Gr</t>
  </si>
  <si>
    <t>Fiesta Crispy Bubble Nugget 400 G</t>
  </si>
  <si>
    <t>Fiesta Crispy Bubble Katsu 400 Gr</t>
  </si>
  <si>
    <t>Fiesta Cheesy Bombs Chicken Nugget 400gr (12)</t>
  </si>
  <si>
    <t>FIESTA CHEESY ITALIAN RICE BITES 400 G</t>
  </si>
  <si>
    <t>Fiesta Yakiniku Rice Bites 400 G</t>
  </si>
  <si>
    <t>Fiesta SCB Slice 250 GR Fr</t>
  </si>
  <si>
    <t>Fiesta Sosis Bratwurst 300 GR</t>
  </si>
  <si>
    <t>Fiesta Cheese Sausage 300 GR</t>
  </si>
  <si>
    <t>Fiesta Sosis Currywurst  300 Gr</t>
  </si>
  <si>
    <t>Fiesta Chicken Slice 300 Gr</t>
  </si>
  <si>
    <t>Fiesta Beef Slice 300 Gr</t>
  </si>
  <si>
    <t>Fiesta Bockwurst Sausage 300 GR</t>
  </si>
  <si>
    <t>Fiesta Wiener Sausage 300 GR</t>
  </si>
  <si>
    <t>Fiesta Original Sausage 300 GR</t>
  </si>
  <si>
    <t>Fiesta Frankfurter Sausage 300 GR</t>
  </si>
  <si>
    <t>Fiesta Chicken Siomay 180 G New</t>
  </si>
  <si>
    <t>Fiesta Chicken Siomay 900 GR</t>
  </si>
  <si>
    <t>Fiesta Gyoza 180 G New</t>
  </si>
  <si>
    <t>Fiesta French F Shoestring 500 GR</t>
  </si>
  <si>
    <t>Fiesta French F Shoestring 1000 GR</t>
  </si>
  <si>
    <t>Fiesta French F Straight Cut 500 GR</t>
  </si>
  <si>
    <t>Fiesta French F Straight Cut 1000 GR</t>
  </si>
  <si>
    <t>Fiesta French F Crinkle Cut 500 GR</t>
  </si>
  <si>
    <t>Fiesta French F Crinkle Cut 1000 GR</t>
  </si>
  <si>
    <t>Fiesta French F Batter Coated 500 GR</t>
  </si>
  <si>
    <t>Fiesta French F Batter Coated 1000 GR</t>
  </si>
  <si>
    <t>Fiesta Truffle Gyudon 320G</t>
  </si>
  <si>
    <t>Fiesta Rice with Chicken Rujak 320G</t>
  </si>
  <si>
    <t>Fiesta Rice With Korean BBQ Chicken 320G</t>
  </si>
  <si>
    <t>Fiesta Chicken Rendang W Rice 320G 6PC</t>
  </si>
  <si>
    <t>Fiesta Chicken Teriyaki W Rice 320G 6PC</t>
  </si>
  <si>
    <t>Fiesta Chicken Tandori W Rice 320G 6PC</t>
  </si>
  <si>
    <t>Fiesta Rice W Karage &amp; SSS 320G 6PC</t>
  </si>
  <si>
    <t>Fiesta Rice W CH Cheese Buldak 320G 6PC</t>
  </si>
  <si>
    <t>Fiesta Rice W Chicken Curry 320G 6PC</t>
  </si>
  <si>
    <t>Fiesta Rice W CH Donburi 320G 6PC</t>
  </si>
  <si>
    <t>Fiesta Rice W Chicken Satay 320G 6PC</t>
  </si>
  <si>
    <t>Fiesta Coconut Rice W SpicyChick 320G6PC</t>
  </si>
  <si>
    <t>FS Rice W Popbites Sambal Matah 320G 6PC</t>
  </si>
  <si>
    <t>Fiesta Tumeric Rice W Popbites 320G 6PC</t>
  </si>
  <si>
    <t>Fiesta SCB&amp;C.Sausage Fried Rice 320G 6PC</t>
  </si>
  <si>
    <t>Fiesta Chicken Curry W Noodle 300G 6PC</t>
  </si>
  <si>
    <t>Fiesta Chicken Mushroom W Noodle300G 6PC</t>
  </si>
  <si>
    <t>FS Spaghetti Chicken Bolognese 320G 6Pc</t>
  </si>
  <si>
    <t>FS Italian Meatball Spaghetti 320G 6PC</t>
  </si>
  <si>
    <t>Fiesta Spaghetti Carbonara 300g 6 PC</t>
  </si>
  <si>
    <t>Fiesta Beef Yakiniku W Rice 320G 6PC</t>
  </si>
  <si>
    <t>Fiesta Beef Bulgogi W Rice 320G 6PC</t>
  </si>
  <si>
    <t>Fiesta Beef Rendang W Rice 320G 6PC</t>
  </si>
  <si>
    <t>Fiesta Rice W Beef Blackpepper 320G 6PC</t>
  </si>
  <si>
    <t>Fiesta Chicken Sausage&amp;C.Ball Pizza 230G</t>
  </si>
  <si>
    <t>Fiesta Cheesy Beef Pizza 230G</t>
  </si>
  <si>
    <t>FIESTA RTS CHICKEN TERIYAKI 300GR</t>
  </si>
  <si>
    <t>FIESTA RTS CHICKEN RENDANG 300G</t>
  </si>
  <si>
    <t>FIESTA RTS BEEF RENDANG 300G</t>
  </si>
  <si>
    <t>FIESTA RTS BEEF YAKINIKU 300G</t>
  </si>
  <si>
    <t>FIESTA RTS CHIC W RUJAK SAUCE 300G</t>
  </si>
  <si>
    <t>FIESTA RTS CHIC W SAMBAL MATAH 300G</t>
  </si>
  <si>
    <t>FIESTA RTS BEEF BLACKPEPPER 300G</t>
  </si>
  <si>
    <t>FIESTA RTS BEEF BULGOGI 300G</t>
  </si>
  <si>
    <t>Fiesta RTG Sausage 65G</t>
  </si>
  <si>
    <t>Fiesta RTG Bakso Keju 60G</t>
  </si>
  <si>
    <t>Fiesta RTG Bakso BBQ 60G</t>
  </si>
  <si>
    <t>Fiesta RTG Sausage With Hot Lava 60G</t>
  </si>
  <si>
    <t>Fiesta RTG Sausage With Cheese Lava 60G</t>
  </si>
  <si>
    <t>Fiesta RTG Sausage With Hickory Lava 60g</t>
  </si>
  <si>
    <t>Fiesta RTG Sausage With Mentai Lava 60G</t>
  </si>
  <si>
    <t>Fiesta RTG Beef Ball with Mentai Lava55G</t>
  </si>
  <si>
    <t>Fiesta RTG Beef Ball with CheeseLava 55G</t>
  </si>
  <si>
    <t>Fiesta Ramen Beku 570Gr</t>
  </si>
  <si>
    <t>Champ Naget Ayam Kombinasi 225 G</t>
  </si>
  <si>
    <t>Champ Naget Ayam Kombinasi 450 G</t>
  </si>
  <si>
    <t>Champ Naget Ayam Kombinasi 900 G</t>
  </si>
  <si>
    <t>Champ Naget Kombinasi Bentuk Stik 225 G</t>
  </si>
  <si>
    <t>Champ Naget Kombinasi Bentuk Stik 450 G</t>
  </si>
  <si>
    <t>CHAMP NAGET KOMBINASI BENTUK STIK 900 G</t>
  </si>
  <si>
    <t>CHAMP KOIN KOMBINASI 200 G</t>
  </si>
  <si>
    <t>CHAMP KOIN KOMBINASI 450 G</t>
  </si>
  <si>
    <t>CHAMP NAGET ABC KOMBINASI 225 G</t>
  </si>
  <si>
    <t>CHAMP NAGET ABC KOMBINASI 450 G</t>
  </si>
  <si>
    <t>Champ Burger 315 G</t>
  </si>
  <si>
    <t>CHAMP CHICKEN NUGGET BENTUK 123 450 G</t>
  </si>
  <si>
    <t>CHAMP NUGGET HOTZZ LEVEL 5 450 G</t>
  </si>
  <si>
    <t>CHAMP CRUNCHY NUGGET 225G</t>
  </si>
  <si>
    <t>Champ Crunchy Hotzz 300G</t>
  </si>
  <si>
    <t>Champ Crunchy Nugget 450 G</t>
  </si>
  <si>
    <t>Champ Chicken Ball 200 GR Fr</t>
  </si>
  <si>
    <t>Champ Chicken Ball 500 GR Fr</t>
  </si>
  <si>
    <t>Champ Beef Sausage 150 GR Fr</t>
  </si>
  <si>
    <t>Champ Beef Sausage 375 GR Fr</t>
  </si>
  <si>
    <t>Champ Beef Sausage Goreng 375 GR Fr</t>
  </si>
  <si>
    <t>Champ Beef Ball 500Gr  Fr</t>
  </si>
  <si>
    <t>Champ Frankfurter Sausage 375 Gr</t>
  </si>
  <si>
    <t>Champ Sosis Ayam Komb. Rasa Madu 300G</t>
  </si>
  <si>
    <t>Champ Sosis Bakar Jumbo 500 G New</t>
  </si>
  <si>
    <t>Champ Sosis Bakar Mini 500 G New</t>
  </si>
  <si>
    <t>Champ Chicken &amp; Fish Siomay 180 G New</t>
  </si>
  <si>
    <t>Champ Chicken &amp; Fish Siomay 900 G</t>
  </si>
  <si>
    <t>Akumo Chicken Naget 250 Gr</t>
  </si>
  <si>
    <t>Akumo Chicken Naget 500 Gr</t>
  </si>
  <si>
    <t>Akumo Chicken Naget 1 Kg</t>
  </si>
  <si>
    <t>Akumo Chicken Stick 250 GR</t>
  </si>
  <si>
    <t>Akumo Chicken Stick 500 GR</t>
  </si>
  <si>
    <t>Akumo Chicken Stick 1000 GR</t>
  </si>
  <si>
    <t>AKUMO KOIN KOMBINASI 200 GR</t>
  </si>
  <si>
    <t>AKUMO KOIN KOMBINASI 400 GR</t>
  </si>
  <si>
    <t>Okey Chicken Stick 500 GR</t>
  </si>
  <si>
    <t>Okey Chicken Stick 1000 GR</t>
  </si>
  <si>
    <t>Okey  Nugget 500 Gr Fz</t>
  </si>
  <si>
    <t>Okey Sosis Ayam Kombinasi 1000G Extra 2</t>
  </si>
  <si>
    <t>Okey Sosis Ayam Kombinasi 500G Extra 1</t>
  </si>
  <si>
    <t>Okey Sosis Bakar Jumbo 500G New</t>
  </si>
  <si>
    <t>Okey Sosis Bakar Mini 500G New</t>
  </si>
  <si>
    <t>Okey Burger Mini 280G</t>
  </si>
  <si>
    <t>Okey Beef And Chick Burger 250 G</t>
  </si>
  <si>
    <t>Asimo Naget Kombinasi 1000 Gr</t>
  </si>
  <si>
    <t>ASIMO NAGET KOMBINASI 250 G BENTUK S</t>
  </si>
  <si>
    <t>Asimo Sosis Ayam Kombinasi 500G Extra 1</t>
  </si>
  <si>
    <t>Asimo Sosis Ayam Kombinasi 1000G Extra 2</t>
  </si>
  <si>
    <t>ProductName</t>
  </si>
  <si>
    <t>SAP-Code</t>
  </si>
  <si>
    <t>kg/pack</t>
  </si>
  <si>
    <t>GT-Code</t>
  </si>
  <si>
    <t>GT12060402</t>
  </si>
  <si>
    <t>GT12040406</t>
  </si>
  <si>
    <t>GT12010402</t>
  </si>
  <si>
    <t>GT12030403</t>
  </si>
  <si>
    <t>GT12020401</t>
  </si>
  <si>
    <t>GT12170402</t>
  </si>
  <si>
    <t>GT12040404</t>
  </si>
  <si>
    <t>GT12040403</t>
  </si>
  <si>
    <t>GT12050401</t>
  </si>
  <si>
    <t>GT12060104</t>
  </si>
  <si>
    <t>GT12060103</t>
  </si>
  <si>
    <t>GT12040101</t>
  </si>
  <si>
    <t>GT12010112</t>
  </si>
  <si>
    <t>GT12010113</t>
  </si>
  <si>
    <t>GT12030101</t>
  </si>
  <si>
    <t>GT12030102</t>
  </si>
  <si>
    <t>GT12050103</t>
  </si>
  <si>
    <t>GT12080101</t>
  </si>
  <si>
    <t>GT12020102</t>
  </si>
  <si>
    <t>GT12010117</t>
  </si>
  <si>
    <t>GT12010116</t>
  </si>
  <si>
    <t>GT12070101</t>
  </si>
  <si>
    <t>GT12150201</t>
  </si>
  <si>
    <t>GT12140105</t>
  </si>
  <si>
    <t>GT12010119</t>
  </si>
  <si>
    <t>GT12010121</t>
  </si>
  <si>
    <t>GT12010115</t>
  </si>
  <si>
    <t>GT12190103</t>
  </si>
  <si>
    <t>GT12010124</t>
  </si>
  <si>
    <t>GT16060120</t>
  </si>
  <si>
    <t>GT12010122</t>
  </si>
  <si>
    <t>GT12130102</t>
  </si>
  <si>
    <t>GT12010125</t>
  </si>
  <si>
    <t>GT12010126</t>
  </si>
  <si>
    <t>GT12010128</t>
  </si>
  <si>
    <t>GT12010127</t>
  </si>
  <si>
    <t>GT12060105</t>
  </si>
  <si>
    <t>GT12010123</t>
  </si>
  <si>
    <t>GT12050104</t>
  </si>
  <si>
    <t>GT12010111</t>
  </si>
  <si>
    <t>GT12040102</t>
  </si>
  <si>
    <t>GT12010129</t>
  </si>
  <si>
    <t>GT12240102</t>
  </si>
  <si>
    <t>GT12240103</t>
  </si>
  <si>
    <t>GT13030101</t>
  </si>
  <si>
    <t>GT13030102</t>
  </si>
  <si>
    <t>GT13010101</t>
  </si>
  <si>
    <t>GT13010102</t>
  </si>
  <si>
    <t>GT13050101</t>
  </si>
  <si>
    <t>GT13010111</t>
  </si>
  <si>
    <t>GT13010112</t>
  </si>
  <si>
    <t>GT13010113</t>
  </si>
  <si>
    <t>GT13050105</t>
  </si>
  <si>
    <t>GT13050106</t>
  </si>
  <si>
    <t>GT13010114</t>
  </si>
  <si>
    <t>GT13010115</t>
  </si>
  <si>
    <t>GT13010116</t>
  </si>
  <si>
    <t>GT13010117</t>
  </si>
  <si>
    <t>GT16060113</t>
  </si>
  <si>
    <t>GT16060103</t>
  </si>
  <si>
    <t>GT16060114</t>
  </si>
  <si>
    <t>GT16060121</t>
  </si>
  <si>
    <t>GT15010101</t>
  </si>
  <si>
    <t>GT15010102</t>
  </si>
  <si>
    <t>GT15010107</t>
  </si>
  <si>
    <t>GT15020101</t>
  </si>
  <si>
    <t>GT15020102</t>
  </si>
  <si>
    <t>GT15030101</t>
  </si>
  <si>
    <t>GT15030102</t>
  </si>
  <si>
    <t>GT15040101</t>
  </si>
  <si>
    <t>GT15040102</t>
  </si>
  <si>
    <t>GT21010101</t>
  </si>
  <si>
    <t>GT21000123</t>
  </si>
  <si>
    <t>GT21000124</t>
  </si>
  <si>
    <t>GT21000125</t>
  </si>
  <si>
    <t>GT21000126</t>
  </si>
  <si>
    <t>GT21000127</t>
  </si>
  <si>
    <t>GT21000128</t>
  </si>
  <si>
    <t>GT21000129</t>
  </si>
  <si>
    <t>GT21000130</t>
  </si>
  <si>
    <t>GT21000131</t>
  </si>
  <si>
    <t>GT21000132</t>
  </si>
  <si>
    <t>GT21000133</t>
  </si>
  <si>
    <t>GT21000134</t>
  </si>
  <si>
    <t>GT21000135</t>
  </si>
  <si>
    <t>GT21000136</t>
  </si>
  <si>
    <t>GT21000137</t>
  </si>
  <si>
    <t>GT21310103</t>
  </si>
  <si>
    <t>GT21100110</t>
  </si>
  <si>
    <t>GT21100109</t>
  </si>
  <si>
    <t>GT21200108</t>
  </si>
  <si>
    <t>GT21200109</t>
  </si>
  <si>
    <t>GT21200107</t>
  </si>
  <si>
    <t>GT21010102</t>
  </si>
  <si>
    <t>GT21010103</t>
  </si>
  <si>
    <t>GT21010104</t>
  </si>
  <si>
    <t>GT21010105</t>
  </si>
  <si>
    <t>GT21500101</t>
  </si>
  <si>
    <t>GT21500102</t>
  </si>
  <si>
    <t>GT17200109</t>
  </si>
  <si>
    <t>GT17200110</t>
  </si>
  <si>
    <t>GT17210107</t>
  </si>
  <si>
    <t>GT17210106</t>
  </si>
  <si>
    <t>GT17200111</t>
  </si>
  <si>
    <t>GT17200112</t>
  </si>
  <si>
    <t>GT17210108</t>
  </si>
  <si>
    <t>GT17210109</t>
  </si>
  <si>
    <t>GT13010118</t>
  </si>
  <si>
    <t>GT16060119</t>
  </si>
  <si>
    <t>GT18050102</t>
  </si>
  <si>
    <t>GT18050103</t>
  </si>
  <si>
    <t>GT13010119</t>
  </si>
  <si>
    <t>GT13010120</t>
  </si>
  <si>
    <t>GT13010121</t>
  </si>
  <si>
    <t>GT13010122</t>
  </si>
  <si>
    <t>GT13010123</t>
  </si>
  <si>
    <t>GT13010124</t>
  </si>
  <si>
    <t>GT13010125</t>
  </si>
  <si>
    <t>GT18050104</t>
  </si>
  <si>
    <t>GT18050105</t>
  </si>
  <si>
    <t>GT20040101</t>
  </si>
  <si>
    <t>GT12010510</t>
  </si>
  <si>
    <t>GT12010511</t>
  </si>
  <si>
    <t>GT12010512</t>
  </si>
  <si>
    <t>GT12010517</t>
  </si>
  <si>
    <t>GT12010518</t>
  </si>
  <si>
    <t>GT12010519</t>
  </si>
  <si>
    <t>GT12010516</t>
  </si>
  <si>
    <t>GT12010515</t>
  </si>
  <si>
    <t>GT12010513</t>
  </si>
  <si>
    <t>GT12010514</t>
  </si>
  <si>
    <t>GT12130504</t>
  </si>
  <si>
    <t>GT12010520</t>
  </si>
  <si>
    <t>GT12010521</t>
  </si>
  <si>
    <t>GT12010606</t>
  </si>
  <si>
    <t>GT12150501</t>
  </si>
  <si>
    <t>GT12010509</t>
  </si>
  <si>
    <t>GT13010514</t>
  </si>
  <si>
    <t>GT13030501</t>
  </si>
  <si>
    <t>GT13030502</t>
  </si>
  <si>
    <t>GT13010510</t>
  </si>
  <si>
    <t>GT13010521</t>
  </si>
  <si>
    <t>GT13010513</t>
  </si>
  <si>
    <t>GT13010502</t>
  </si>
  <si>
    <t>GT13070501</t>
  </si>
  <si>
    <t>GT13070502</t>
  </si>
  <si>
    <t>GT13070505</t>
  </si>
  <si>
    <t>GT13110504</t>
  </si>
  <si>
    <t>GT13070506</t>
  </si>
  <si>
    <t>GT13010523</t>
  </si>
  <si>
    <t>GT13010524</t>
  </si>
  <si>
    <t>GT13010525</t>
  </si>
  <si>
    <t>GT16060503</t>
  </si>
  <si>
    <t>GT16060502</t>
  </si>
  <si>
    <t>GT12012501</t>
  </si>
  <si>
    <t>GT12012502</t>
  </si>
  <si>
    <t>GT12012503</t>
  </si>
  <si>
    <t>GT12032501</t>
  </si>
  <si>
    <t>GT12032502</t>
  </si>
  <si>
    <t>GT12032503</t>
  </si>
  <si>
    <t>GT12012504</t>
  </si>
  <si>
    <t>GT12012505</t>
  </si>
  <si>
    <t>GT12030802</t>
  </si>
  <si>
    <t>GT12030801</t>
  </si>
  <si>
    <t>GT12010801</t>
  </si>
  <si>
    <t>GT13010811</t>
  </si>
  <si>
    <t>GT13010809</t>
  </si>
  <si>
    <t>GT13010818</t>
  </si>
  <si>
    <t>GT13010817</t>
  </si>
  <si>
    <t>GT13030804</t>
  </si>
  <si>
    <t>GT13030805</t>
  </si>
  <si>
    <t>GT13010815</t>
  </si>
  <si>
    <t>GT13010816</t>
  </si>
  <si>
    <t>GT13050202</t>
  </si>
  <si>
    <t>GT13050201</t>
  </si>
  <si>
    <t>GT12032203</t>
  </si>
  <si>
    <t>GT12032201</t>
  </si>
  <si>
    <t>GT12032202</t>
  </si>
  <si>
    <t>GT12012203</t>
  </si>
  <si>
    <t>GT12012201</t>
  </si>
  <si>
    <t>GT12012202</t>
  </si>
  <si>
    <t>GT12012204</t>
  </si>
  <si>
    <t>GT12012205</t>
  </si>
  <si>
    <t>GT12012206</t>
  </si>
  <si>
    <t>GT13012206</t>
  </si>
  <si>
    <t>GT13012208</t>
  </si>
  <si>
    <t>GT13012209</t>
  </si>
  <si>
    <t>GT13012210</t>
  </si>
  <si>
    <t>GT13012205</t>
  </si>
  <si>
    <t>GT13012207</t>
  </si>
  <si>
    <t>GT12012703</t>
  </si>
  <si>
    <t>GT12012701</t>
  </si>
  <si>
    <t>GT12012702</t>
  </si>
  <si>
    <t>Brand</t>
  </si>
  <si>
    <t>Category</t>
  </si>
  <si>
    <t xml:space="preserve">FIESTA </t>
  </si>
  <si>
    <t>Carton/pcs</t>
  </si>
  <si>
    <t>weight/pcs(RTG)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</si>
</sst>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\-??_);_(@_)"/>
    <numFmt numFmtId="165" formatCode="_(* #,##0_);_(* \(#,##0\);_(* \-??_);_(@_)"/>
    <numFmt numFmtId="166" formatCode="_(* #,##0.0_);_(* \(#,##0.0\);_(* &quot;-&quot;??_);_(@_)"/>
    <numFmt numFmtId="167" formatCode="_(* #,##0_);_(* \(#,##0\);_(* &quot;-&quot;??_);_(@_)"/>
    <numFmt numFmtId="168" formatCode="_(* #,##0.0_);_(* \(#,##0.0\);_(* \-??_);_(@_)"/>
    <numFmt numFmtId="169" formatCode="_(* #,##0.00_);_(* \(#,##0.00\);_(* &quot;-&quot;??_);_(@_)"/>
    <numFmt numFmtId="170" formatCode="_(* #,##0.0_);_(* \(#,##0.0\);_(* &quot;-&quot;?_);_(@_)"/>
  </numFmts>
  <fonts count="19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i/>
      <sz val="14"/>
      <name val="Arial"/>
      <family val="2"/>
    </font>
    <font>
      <sz val="12"/>
      <color indexed="10"/>
      <name val="Arial"/>
      <family val="2"/>
    </font>
    <font>
      <b/>
      <sz val="16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b/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i/>
      <sz val="14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1"/>
        <bgColor indexed="42"/>
      </patternFill>
    </fill>
    <fill>
      <patternFill patternType="solid">
        <fgColor indexed="43"/>
        <bgColor indexed="42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0"/>
        <bgColor indexed="42"/>
      </patternFill>
    </fill>
    <fill>
      <patternFill patternType="solid">
        <fgColor indexed="22"/>
        <bgColor indexed="3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3DBFF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4">
    <xf numFmtId="0" fontId="0" fillId="0" borderId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</cellStyleXfs>
  <cellXfs count="266">
    <xf numFmtId="0" fontId="0" fillId="0" borderId="0" xfId="0"/>
    <xf numFmtId="0" fontId="2" fillId="0" borderId="0" xfId="0" applyFont="1"/>
    <xf numFmtId="165" fontId="3" fillId="2" borderId="2" xfId="2" applyNumberFormat="1" applyFont="1" applyFill="1" applyBorder="1" applyAlignment="1" applyProtection="1"/>
    <xf numFmtId="165" fontId="3" fillId="2" borderId="3" xfId="2" applyNumberFormat="1" applyFont="1" applyFill="1" applyBorder="1" applyAlignment="1" applyProtection="1"/>
    <xf numFmtId="166" fontId="3" fillId="2" borderId="2" xfId="1" applyNumberFormat="1" applyFont="1" applyFill="1" applyBorder="1" applyAlignment="1" applyProtection="1"/>
    <xf numFmtId="165" fontId="3" fillId="2" borderId="2" xfId="1" applyNumberFormat="1" applyFont="1" applyFill="1" applyBorder="1" applyAlignment="1" applyProtection="1"/>
    <xf numFmtId="167" fontId="3" fillId="2" borderId="2" xfId="1" applyNumberFormat="1" applyFont="1" applyFill="1" applyBorder="1" applyAlignment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5" fontId="2" fillId="3" borderId="2" xfId="1" applyNumberFormat="1" applyFont="1" applyFill="1" applyBorder="1" applyAlignment="1" applyProtection="1"/>
    <xf numFmtId="164" fontId="4" fillId="3" borderId="2" xfId="1" applyFont="1" applyFill="1" applyBorder="1" applyAlignment="1" applyProtection="1">
      <alignment horizontal="center"/>
    </xf>
    <xf numFmtId="165" fontId="2" fillId="4" borderId="4" xfId="2" applyNumberFormat="1" applyFont="1" applyFill="1" applyBorder="1" applyAlignment="1" applyProtection="1"/>
    <xf numFmtId="165" fontId="2" fillId="4" borderId="5" xfId="2" applyNumberFormat="1" applyFont="1" applyFill="1" applyBorder="1" applyAlignment="1" applyProtection="1"/>
    <xf numFmtId="164" fontId="4" fillId="4" borderId="5" xfId="2" applyFont="1" applyFill="1" applyBorder="1" applyAlignment="1" applyProtection="1">
      <alignment horizontal="left"/>
    </xf>
    <xf numFmtId="165" fontId="5" fillId="5" borderId="4" xfId="2" applyNumberFormat="1" applyFont="1" applyFill="1" applyBorder="1" applyAlignment="1" applyProtection="1"/>
    <xf numFmtId="168" fontId="5" fillId="5" borderId="4" xfId="2" applyNumberFormat="1" applyFont="1" applyFill="1" applyBorder="1" applyAlignment="1" applyProtection="1"/>
    <xf numFmtId="0" fontId="6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165" fontId="2" fillId="0" borderId="2" xfId="2" applyNumberFormat="1" applyFont="1" applyFill="1" applyBorder="1" applyAlignment="1" applyProtection="1"/>
    <xf numFmtId="168" fontId="2" fillId="0" borderId="2" xfId="2" applyNumberFormat="1" applyFont="1" applyFill="1" applyBorder="1" applyAlignment="1" applyProtection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165" fontId="2" fillId="0" borderId="7" xfId="2" applyNumberFormat="1" applyFont="1" applyFill="1" applyBorder="1" applyAlignment="1" applyProtection="1"/>
    <xf numFmtId="168" fontId="2" fillId="0" borderId="7" xfId="2" applyNumberFormat="1" applyFont="1" applyFill="1" applyBorder="1" applyAlignment="1" applyProtection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165" fontId="2" fillId="6" borderId="5" xfId="2" applyNumberFormat="1" applyFont="1" applyFill="1" applyBorder="1" applyAlignment="1" applyProtection="1"/>
    <xf numFmtId="168" fontId="2" fillId="6" borderId="5" xfId="2" applyNumberFormat="1" applyFont="1" applyFill="1" applyBorder="1" applyAlignment="1" applyProtection="1"/>
    <xf numFmtId="0" fontId="2" fillId="6" borderId="5" xfId="0" applyFont="1" applyFill="1" applyBorder="1"/>
    <xf numFmtId="165" fontId="7" fillId="7" borderId="5" xfId="2" applyNumberFormat="1" applyFont="1" applyFill="1" applyBorder="1" applyAlignment="1" applyProtection="1"/>
    <xf numFmtId="168" fontId="7" fillId="7" borderId="5" xfId="2" applyNumberFormat="1" applyFont="1" applyFill="1" applyBorder="1" applyAlignment="1" applyProtection="1"/>
    <xf numFmtId="0" fontId="7" fillId="7" borderId="5" xfId="0" applyFont="1" applyFill="1" applyBorder="1"/>
    <xf numFmtId="0" fontId="7" fillId="7" borderId="5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5" fillId="0" borderId="0" xfId="0" applyFont="1"/>
    <xf numFmtId="165" fontId="2" fillId="4" borderId="8" xfId="2" applyNumberFormat="1" applyFont="1" applyFill="1" applyBorder="1" applyAlignment="1" applyProtection="1"/>
    <xf numFmtId="165" fontId="2" fillId="6" borderId="2" xfId="2" applyNumberFormat="1" applyFont="1" applyFill="1" applyBorder="1" applyAlignment="1" applyProtection="1"/>
    <xf numFmtId="168" fontId="2" fillId="6" borderId="2" xfId="2" applyNumberFormat="1" applyFont="1" applyFill="1" applyBorder="1" applyAlignment="1" applyProtection="1"/>
    <xf numFmtId="0" fontId="2" fillId="6" borderId="2" xfId="0" applyFont="1" applyFill="1" applyBorder="1"/>
    <xf numFmtId="0" fontId="2" fillId="6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5" xfId="2" applyNumberFormat="1" applyFont="1" applyFill="1" applyBorder="1" applyAlignment="1" applyProtection="1"/>
    <xf numFmtId="168" fontId="2" fillId="0" borderId="5" xfId="2" applyNumberFormat="1" applyFont="1" applyFill="1" applyBorder="1" applyAlignment="1" applyProtection="1"/>
    <xf numFmtId="166" fontId="2" fillId="0" borderId="2" xfId="1" applyNumberFormat="1" applyFont="1" applyFill="1" applyBorder="1" applyAlignment="1" applyProtection="1"/>
    <xf numFmtId="165" fontId="2" fillId="0" borderId="2" xfId="1" applyNumberFormat="1" applyFont="1" applyFill="1" applyBorder="1" applyAlignment="1" applyProtection="1"/>
    <xf numFmtId="167" fontId="2" fillId="0" borderId="2" xfId="1" applyNumberFormat="1" applyFont="1" applyFill="1" applyBorder="1" applyAlignment="1"/>
    <xf numFmtId="166" fontId="2" fillId="6" borderId="2" xfId="1" applyNumberFormat="1" applyFont="1" applyFill="1" applyBorder="1" applyAlignment="1" applyProtection="1"/>
    <xf numFmtId="165" fontId="2" fillId="6" borderId="2" xfId="1" applyNumberFormat="1" applyFont="1" applyFill="1" applyBorder="1" applyAlignment="1" applyProtection="1"/>
    <xf numFmtId="167" fontId="2" fillId="6" borderId="2" xfId="1" applyNumberFormat="1" applyFont="1" applyFill="1" applyBorder="1" applyAlignment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165" fontId="2" fillId="0" borderId="5" xfId="1" applyNumberFormat="1" applyFont="1" applyFill="1" applyBorder="1" applyAlignment="1" applyProtection="1"/>
    <xf numFmtId="168" fontId="7" fillId="7" borderId="2" xfId="2" applyNumberFormat="1" applyFont="1" applyFill="1" applyBorder="1" applyAlignment="1" applyProtection="1"/>
    <xf numFmtId="165" fontId="7" fillId="7" borderId="9" xfId="2" applyNumberFormat="1" applyFont="1" applyFill="1" applyBorder="1" applyAlignment="1" applyProtection="1"/>
    <xf numFmtId="165" fontId="7" fillId="7" borderId="2" xfId="2" applyNumberFormat="1" applyFont="1" applyFill="1" applyBorder="1" applyAlignment="1" applyProtection="1"/>
    <xf numFmtId="0" fontId="7" fillId="7" borderId="2" xfId="0" applyFont="1" applyFill="1" applyBorder="1"/>
    <xf numFmtId="0" fontId="7" fillId="7" borderId="2" xfId="0" applyFont="1" applyFill="1" applyBorder="1" applyAlignment="1">
      <alignment horizontal="center"/>
    </xf>
    <xf numFmtId="168" fontId="7" fillId="7" borderId="7" xfId="2" applyNumberFormat="1" applyFont="1" applyFill="1" applyBorder="1" applyAlignment="1" applyProtection="1"/>
    <xf numFmtId="165" fontId="7" fillId="7" borderId="7" xfId="2" applyNumberFormat="1" applyFont="1" applyFill="1" applyBorder="1" applyAlignment="1" applyProtection="1"/>
    <xf numFmtId="0" fontId="7" fillId="7" borderId="7" xfId="0" applyFont="1" applyFill="1" applyBorder="1"/>
    <xf numFmtId="0" fontId="7" fillId="7" borderId="7" xfId="0" applyFont="1" applyFill="1" applyBorder="1" applyAlignment="1">
      <alignment horizontal="center"/>
    </xf>
    <xf numFmtId="165" fontId="5" fillId="0" borderId="0" xfId="2" applyNumberFormat="1" applyFont="1" applyFill="1" applyBorder="1" applyAlignment="1" applyProtection="1"/>
    <xf numFmtId="0" fontId="5" fillId="5" borderId="4" xfId="0" applyFont="1" applyFill="1" applyBorder="1" applyAlignment="1">
      <alignment horizontal="center"/>
    </xf>
    <xf numFmtId="167" fontId="2" fillId="0" borderId="2" xfId="1" applyNumberFormat="1" applyFont="1" applyFill="1" applyBorder="1"/>
    <xf numFmtId="164" fontId="2" fillId="0" borderId="2" xfId="3" applyFont="1" applyFill="1" applyBorder="1" applyAlignment="1" applyProtection="1"/>
    <xf numFmtId="0" fontId="2" fillId="0" borderId="2" xfId="3" applyNumberFormat="1" applyFont="1" applyFill="1" applyBorder="1" applyAlignment="1" applyProtection="1">
      <alignment horizontal="center"/>
    </xf>
    <xf numFmtId="166" fontId="2" fillId="0" borderId="10" xfId="1" applyNumberFormat="1" applyFont="1" applyFill="1" applyBorder="1" applyAlignment="1" applyProtection="1"/>
    <xf numFmtId="165" fontId="2" fillId="0" borderId="7" xfId="1" applyNumberFormat="1" applyFont="1" applyFill="1" applyBorder="1" applyAlignment="1" applyProtection="1"/>
    <xf numFmtId="167" fontId="2" fillId="0" borderId="11" xfId="1" applyNumberFormat="1" applyFont="1" applyFill="1" applyBorder="1"/>
    <xf numFmtId="164" fontId="2" fillId="0" borderId="0" xfId="3" applyFont="1" applyFill="1" applyBorder="1" applyAlignment="1" applyProtection="1"/>
    <xf numFmtId="168" fontId="2" fillId="0" borderId="5" xfId="3" applyNumberFormat="1" applyFont="1" applyFill="1" applyBorder="1" applyAlignment="1" applyProtection="1"/>
    <xf numFmtId="165" fontId="2" fillId="0" borderId="5" xfId="3" applyNumberFormat="1" applyFont="1" applyFill="1" applyBorder="1" applyAlignment="1" applyProtection="1"/>
    <xf numFmtId="165" fontId="5" fillId="5" borderId="5" xfId="2" applyNumberFormat="1" applyFont="1" applyFill="1" applyBorder="1" applyAlignment="1" applyProtection="1"/>
    <xf numFmtId="168" fontId="5" fillId="5" borderId="5" xfId="2" applyNumberFormat="1" applyFont="1" applyFill="1" applyBorder="1" applyAlignment="1" applyProtection="1"/>
    <xf numFmtId="0" fontId="6" fillId="5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169" fontId="2" fillId="0" borderId="0" xfId="0" applyNumberFormat="1" applyFont="1"/>
    <xf numFmtId="166" fontId="2" fillId="0" borderId="3" xfId="1" applyNumberFormat="1" applyFont="1" applyFill="1" applyBorder="1" applyAlignment="1" applyProtection="1"/>
    <xf numFmtId="0" fontId="2" fillId="0" borderId="5" xfId="1" applyNumberFormat="1" applyFont="1" applyFill="1" applyBorder="1" applyAlignment="1" applyProtection="1">
      <alignment horizontal="center"/>
    </xf>
    <xf numFmtId="164" fontId="2" fillId="6" borderId="5" xfId="1" applyFont="1" applyFill="1" applyBorder="1" applyAlignment="1" applyProtection="1"/>
    <xf numFmtId="165" fontId="2" fillId="6" borderId="7" xfId="2" applyNumberFormat="1" applyFont="1" applyFill="1" applyBorder="1" applyAlignment="1" applyProtection="1"/>
    <xf numFmtId="0" fontId="2" fillId="6" borderId="5" xfId="1" applyNumberFormat="1" applyFont="1" applyFill="1" applyBorder="1" applyAlignment="1" applyProtection="1">
      <alignment horizontal="center"/>
    </xf>
    <xf numFmtId="164" fontId="4" fillId="4" borderId="4" xfId="2" applyFont="1" applyFill="1" applyBorder="1" applyAlignment="1" applyProtection="1">
      <alignment horizontal="left"/>
    </xf>
    <xf numFmtId="0" fontId="2" fillId="0" borderId="2" xfId="1" applyNumberFormat="1" applyFont="1" applyFill="1" applyBorder="1" applyAlignment="1" applyProtection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/>
    <xf numFmtId="169" fontId="3" fillId="0" borderId="0" xfId="0" applyNumberFormat="1" applyFont="1"/>
    <xf numFmtId="0" fontId="2" fillId="8" borderId="4" xfId="0" applyFont="1" applyFill="1" applyBorder="1" applyAlignment="1">
      <alignment horizontal="center"/>
    </xf>
    <xf numFmtId="167" fontId="2" fillId="6" borderId="2" xfId="1" applyNumberFormat="1" applyFont="1" applyFill="1" applyBorder="1"/>
    <xf numFmtId="0" fontId="2" fillId="6" borderId="2" xfId="1" applyNumberFormat="1" applyFont="1" applyFill="1" applyBorder="1" applyAlignment="1" applyProtection="1">
      <alignment horizontal="center"/>
    </xf>
    <xf numFmtId="164" fontId="2" fillId="0" borderId="5" xfId="1" applyFont="1" applyFill="1" applyBorder="1" applyAlignment="1" applyProtection="1"/>
    <xf numFmtId="168" fontId="2" fillId="0" borderId="5" xfId="1" applyNumberFormat="1" applyFont="1" applyFill="1" applyBorder="1" applyAlignment="1" applyProtection="1"/>
    <xf numFmtId="165" fontId="2" fillId="0" borderId="12" xfId="2" applyNumberFormat="1" applyFont="1" applyFill="1" applyBorder="1" applyAlignment="1" applyProtection="1"/>
    <xf numFmtId="0" fontId="2" fillId="0" borderId="4" xfId="0" applyFont="1" applyBorder="1"/>
    <xf numFmtId="170" fontId="2" fillId="0" borderId="5" xfId="2" applyNumberFormat="1" applyFont="1" applyFill="1" applyBorder="1" applyAlignment="1" applyProtection="1"/>
    <xf numFmtId="169" fontId="2" fillId="0" borderId="5" xfId="2" applyNumberFormat="1" applyFont="1" applyFill="1" applyBorder="1" applyAlignment="1" applyProtection="1"/>
    <xf numFmtId="164" fontId="2" fillId="6" borderId="3" xfId="1" applyFont="1" applyFill="1" applyBorder="1" applyAlignment="1" applyProtection="1"/>
    <xf numFmtId="165" fontId="2" fillId="6" borderId="5" xfId="1" applyNumberFormat="1" applyFont="1" applyFill="1" applyBorder="1" applyAlignment="1" applyProtection="1"/>
    <xf numFmtId="168" fontId="2" fillId="8" borderId="4" xfId="2" applyNumberFormat="1" applyFont="1" applyFill="1" applyBorder="1" applyAlignment="1" applyProtection="1"/>
    <xf numFmtId="165" fontId="2" fillId="0" borderId="13" xfId="2" applyNumberFormat="1" applyFont="1" applyFill="1" applyBorder="1" applyAlignment="1" applyProtection="1"/>
    <xf numFmtId="165" fontId="2" fillId="8" borderId="4" xfId="2" applyNumberFormat="1" applyFont="1" applyFill="1" applyBorder="1" applyAlignment="1" applyProtection="1"/>
    <xf numFmtId="0" fontId="2" fillId="8" borderId="4" xfId="0" applyFont="1" applyFill="1" applyBorder="1"/>
    <xf numFmtId="165" fontId="2" fillId="4" borderId="2" xfId="2" applyNumberFormat="1" applyFont="1" applyFill="1" applyBorder="1" applyAlignment="1" applyProtection="1"/>
    <xf numFmtId="164" fontId="4" fillId="4" borderId="2" xfId="2" applyFont="1" applyFill="1" applyBorder="1" applyAlignment="1" applyProtection="1">
      <alignment horizontal="left"/>
    </xf>
    <xf numFmtId="168" fontId="2" fillId="6" borderId="2" xfId="1" applyNumberFormat="1" applyFont="1" applyFill="1" applyBorder="1" applyAlignment="1" applyProtection="1"/>
    <xf numFmtId="168" fontId="2" fillId="0" borderId="2" xfId="1" applyNumberFormat="1" applyFont="1" applyFill="1" applyBorder="1" applyAlignment="1" applyProtection="1"/>
    <xf numFmtId="164" fontId="2" fillId="0" borderId="2" xfId="2" applyFont="1" applyFill="1" applyBorder="1" applyAlignment="1" applyProtection="1">
      <alignment horizontal="left"/>
    </xf>
    <xf numFmtId="0" fontId="8" fillId="0" borderId="2" xfId="0" applyFont="1" applyBorder="1" applyAlignment="1">
      <alignment horizontal="center"/>
    </xf>
    <xf numFmtId="0" fontId="2" fillId="0" borderId="2" xfId="2" applyNumberFormat="1" applyFont="1" applyFill="1" applyBorder="1" applyAlignment="1" applyProtection="1">
      <alignment horizontal="center"/>
    </xf>
    <xf numFmtId="170" fontId="2" fillId="0" borderId="2" xfId="2" applyNumberFormat="1" applyFont="1" applyFill="1" applyBorder="1" applyAlignment="1" applyProtection="1"/>
    <xf numFmtId="0" fontId="2" fillId="0" borderId="5" xfId="2" applyNumberFormat="1" applyFont="1" applyFill="1" applyBorder="1" applyAlignment="1" applyProtection="1">
      <alignment horizontal="center"/>
    </xf>
    <xf numFmtId="168" fontId="2" fillId="0" borderId="3" xfId="3" applyNumberFormat="1" applyFont="1" applyFill="1" applyBorder="1" applyAlignment="1" applyProtection="1"/>
    <xf numFmtId="165" fontId="2" fillId="0" borderId="4" xfId="3" applyNumberFormat="1" applyFont="1" applyFill="1" applyBorder="1" applyAlignment="1" applyProtection="1"/>
    <xf numFmtId="165" fontId="2" fillId="9" borderId="14" xfId="3" applyNumberFormat="1" applyFont="1" applyFill="1" applyBorder="1" applyAlignment="1" applyProtection="1"/>
    <xf numFmtId="165" fontId="2" fillId="9" borderId="6" xfId="3" applyNumberFormat="1" applyFont="1" applyFill="1" applyBorder="1" applyAlignment="1" applyProtection="1"/>
    <xf numFmtId="165" fontId="2" fillId="9" borderId="8" xfId="3" applyNumberFormat="1" applyFont="1" applyFill="1" applyBorder="1" applyAlignment="1" applyProtection="1"/>
    <xf numFmtId="164" fontId="4" fillId="9" borderId="14" xfId="3" applyFont="1" applyFill="1" applyBorder="1" applyAlignment="1" applyProtection="1">
      <alignment horizontal="left"/>
    </xf>
    <xf numFmtId="165" fontId="2" fillId="9" borderId="4" xfId="3" applyNumberFormat="1" applyFont="1" applyFill="1" applyBorder="1" applyAlignment="1" applyProtection="1"/>
    <xf numFmtId="165" fontId="2" fillId="0" borderId="2" xfId="3" applyNumberFormat="1" applyFont="1" applyFill="1" applyBorder="1" applyAlignment="1" applyProtection="1"/>
    <xf numFmtId="169" fontId="2" fillId="0" borderId="2" xfId="1" applyNumberFormat="1" applyFont="1" applyFill="1" applyBorder="1" applyAlignment="1" applyProtection="1"/>
    <xf numFmtId="164" fontId="2" fillId="0" borderId="2" xfId="1" applyFont="1" applyFill="1" applyBorder="1" applyAlignment="1" applyProtection="1"/>
    <xf numFmtId="169" fontId="2" fillId="6" borderId="2" xfId="1" applyNumberFormat="1" applyFont="1" applyFill="1" applyBorder="1" applyAlignment="1" applyProtection="1"/>
    <xf numFmtId="164" fontId="2" fillId="6" borderId="2" xfId="1" applyFont="1" applyFill="1" applyBorder="1" applyAlignment="1" applyProtection="1"/>
    <xf numFmtId="164" fontId="2" fillId="6" borderId="7" xfId="1" applyFont="1" applyFill="1" applyBorder="1" applyAlignment="1" applyProtection="1"/>
    <xf numFmtId="169" fontId="2" fillId="6" borderId="8" xfId="1" applyNumberFormat="1" applyFont="1" applyFill="1" applyBorder="1" applyAlignment="1" applyProtection="1"/>
    <xf numFmtId="165" fontId="2" fillId="6" borderId="8" xfId="1" applyNumberFormat="1" applyFont="1" applyFill="1" applyBorder="1" applyAlignment="1" applyProtection="1"/>
    <xf numFmtId="167" fontId="2" fillId="6" borderId="8" xfId="1" applyNumberFormat="1" applyFont="1" applyFill="1" applyBorder="1" applyAlignment="1"/>
    <xf numFmtId="164" fontId="2" fillId="6" borderId="15" xfId="1" applyFont="1" applyFill="1" applyBorder="1" applyAlignment="1" applyProtection="1"/>
    <xf numFmtId="0" fontId="2" fillId="6" borderId="8" xfId="0" applyFont="1" applyFill="1" applyBorder="1" applyAlignment="1">
      <alignment horizontal="center"/>
    </xf>
    <xf numFmtId="164" fontId="4" fillId="9" borderId="4" xfId="3" applyFont="1" applyFill="1" applyBorder="1" applyAlignment="1" applyProtection="1">
      <alignment horizontal="left"/>
    </xf>
    <xf numFmtId="165" fontId="2" fillId="9" borderId="3" xfId="3" applyNumberFormat="1" applyFont="1" applyFill="1" applyBorder="1" applyAlignment="1" applyProtection="1"/>
    <xf numFmtId="165" fontId="2" fillId="9" borderId="5" xfId="3" applyNumberFormat="1" applyFont="1" applyFill="1" applyBorder="1" applyAlignment="1" applyProtection="1"/>
    <xf numFmtId="164" fontId="4" fillId="9" borderId="5" xfId="3" applyFont="1" applyFill="1" applyBorder="1" applyAlignment="1" applyProtection="1">
      <alignment horizontal="left"/>
    </xf>
    <xf numFmtId="164" fontId="2" fillId="0" borderId="9" xfId="1" applyFont="1" applyFill="1" applyBorder="1" applyAlignment="1" applyProtection="1"/>
    <xf numFmtId="165" fontId="2" fillId="0" borderId="9" xfId="3" applyNumberFormat="1" applyFont="1" applyFill="1" applyBorder="1" applyAlignment="1" applyProtection="1"/>
    <xf numFmtId="165" fontId="2" fillId="4" borderId="15" xfId="2" applyNumberFormat="1" applyFont="1" applyFill="1" applyBorder="1" applyAlignment="1" applyProtection="1"/>
    <xf numFmtId="165" fontId="2" fillId="9" borderId="10" xfId="3" applyNumberFormat="1" applyFont="1" applyFill="1" applyBorder="1" applyAlignment="1" applyProtection="1"/>
    <xf numFmtId="165" fontId="2" fillId="9" borderId="7" xfId="3" applyNumberFormat="1" applyFont="1" applyFill="1" applyBorder="1" applyAlignment="1" applyProtection="1"/>
    <xf numFmtId="164" fontId="4" fillId="9" borderId="7" xfId="3" applyFont="1" applyFill="1" applyBorder="1" applyAlignment="1" applyProtection="1">
      <alignment horizontal="left"/>
    </xf>
    <xf numFmtId="164" fontId="2" fillId="0" borderId="2" xfId="2" applyFont="1" applyFill="1" applyBorder="1" applyAlignment="1" applyProtection="1"/>
    <xf numFmtId="168" fontId="2" fillId="0" borderId="15" xfId="2" applyNumberFormat="1" applyFont="1" applyFill="1" applyBorder="1" applyAlignment="1" applyProtection="1"/>
    <xf numFmtId="165" fontId="2" fillId="0" borderId="15" xfId="2" applyNumberFormat="1" applyFont="1" applyFill="1" applyBorder="1" applyAlignment="1" applyProtection="1"/>
    <xf numFmtId="164" fontId="2" fillId="0" borderId="15" xfId="2" applyFont="1" applyFill="1" applyBorder="1" applyAlignment="1" applyProtection="1"/>
    <xf numFmtId="0" fontId="2" fillId="0" borderId="8" xfId="0" applyFont="1" applyBorder="1" applyAlignment="1">
      <alignment horizontal="center"/>
    </xf>
    <xf numFmtId="168" fontId="2" fillId="6" borderId="7" xfId="2" applyNumberFormat="1" applyFont="1" applyFill="1" applyBorder="1" applyAlignment="1" applyProtection="1"/>
    <xf numFmtId="164" fontId="2" fillId="6" borderId="7" xfId="2" applyFont="1" applyFill="1" applyBorder="1" applyAlignment="1" applyProtection="1"/>
    <xf numFmtId="0" fontId="2" fillId="6" borderId="7" xfId="0" applyFont="1" applyFill="1" applyBorder="1" applyAlignment="1">
      <alignment horizontal="center"/>
    </xf>
    <xf numFmtId="164" fontId="2" fillId="6" borderId="5" xfId="2" applyFont="1" applyFill="1" applyBorder="1" applyAlignment="1" applyProtection="1"/>
    <xf numFmtId="168" fontId="2" fillId="6" borderId="5" xfId="1" applyNumberFormat="1" applyFont="1" applyFill="1" applyBorder="1" applyAlignment="1" applyProtection="1"/>
    <xf numFmtId="164" fontId="2" fillId="0" borderId="5" xfId="2" applyFont="1" applyFill="1" applyBorder="1" applyAlignment="1" applyProtection="1"/>
    <xf numFmtId="165" fontId="2" fillId="4" borderId="4" xfId="1" applyNumberFormat="1" applyFont="1" applyFill="1" applyBorder="1" applyAlignment="1" applyProtection="1"/>
    <xf numFmtId="165" fontId="2" fillId="4" borderId="5" xfId="1" applyNumberFormat="1" applyFont="1" applyFill="1" applyBorder="1" applyAlignment="1" applyProtection="1"/>
    <xf numFmtId="164" fontId="4" fillId="4" borderId="5" xfId="1" applyFont="1" applyFill="1" applyBorder="1" applyAlignment="1" applyProtection="1">
      <alignment horizontal="left"/>
    </xf>
    <xf numFmtId="165" fontId="2" fillId="0" borderId="16" xfId="1" applyNumberFormat="1" applyFont="1" applyFill="1" applyBorder="1" applyAlignment="1" applyProtection="1"/>
    <xf numFmtId="0" fontId="8" fillId="0" borderId="2" xfId="0" applyFont="1" applyBorder="1"/>
    <xf numFmtId="165" fontId="2" fillId="0" borderId="3" xfId="1" applyNumberFormat="1" applyFont="1" applyFill="1" applyBorder="1" applyAlignment="1" applyProtection="1"/>
    <xf numFmtId="0" fontId="2" fillId="0" borderId="2" xfId="1" applyNumberFormat="1" applyFont="1" applyFill="1" applyBorder="1" applyAlignment="1" applyProtection="1">
      <alignment horizontal="center" wrapText="1"/>
    </xf>
    <xf numFmtId="165" fontId="2" fillId="0" borderId="10" xfId="1" applyNumberFormat="1" applyFont="1" applyFill="1" applyBorder="1" applyAlignment="1" applyProtection="1"/>
    <xf numFmtId="0" fontId="2" fillId="0" borderId="7" xfId="1" applyNumberFormat="1" applyFont="1" applyFill="1" applyBorder="1" applyAlignment="1" applyProtection="1">
      <alignment horizontal="center"/>
    </xf>
    <xf numFmtId="0" fontId="2" fillId="0" borderId="1" xfId="0" applyFont="1" applyBorder="1" applyAlignment="1">
      <alignment horizontal="center"/>
    </xf>
    <xf numFmtId="165" fontId="2" fillId="6" borderId="17" xfId="1" applyNumberFormat="1" applyFont="1" applyFill="1" applyBorder="1" applyAlignment="1" applyProtection="1"/>
    <xf numFmtId="165" fontId="2" fillId="10" borderId="2" xfId="1" applyNumberFormat="1" applyFont="1" applyFill="1" applyBorder="1" applyAlignment="1" applyProtection="1"/>
    <xf numFmtId="165" fontId="2" fillId="10" borderId="16" xfId="1" applyNumberFormat="1" applyFont="1" applyFill="1" applyBorder="1" applyAlignment="1" applyProtection="1"/>
    <xf numFmtId="0" fontId="8" fillId="6" borderId="2" xfId="0" applyFont="1" applyFill="1" applyBorder="1"/>
    <xf numFmtId="0" fontId="8" fillId="6" borderId="2" xfId="0" applyFont="1" applyFill="1" applyBorder="1" applyAlignment="1">
      <alignment horizontal="center"/>
    </xf>
    <xf numFmtId="165" fontId="5" fillId="5" borderId="4" xfId="1" applyNumberFormat="1" applyFont="1" applyFill="1" applyBorder="1" applyAlignment="1" applyProtection="1"/>
    <xf numFmtId="165" fontId="5" fillId="5" borderId="5" xfId="1" applyNumberFormat="1" applyFont="1" applyFill="1" applyBorder="1" applyAlignment="1" applyProtection="1"/>
    <xf numFmtId="165" fontId="5" fillId="0" borderId="0" xfId="1" applyNumberFormat="1" applyFont="1" applyFill="1" applyBorder="1" applyAlignment="1" applyProtection="1"/>
    <xf numFmtId="0" fontId="3" fillId="11" borderId="5" xfId="0" applyFont="1" applyFill="1" applyBorder="1" applyAlignment="1">
      <alignment horizontal="center"/>
    </xf>
    <xf numFmtId="0" fontId="3" fillId="11" borderId="14" xfId="0" applyFont="1" applyFill="1" applyBorder="1" applyAlignment="1">
      <alignment horizontal="center"/>
    </xf>
    <xf numFmtId="0" fontId="3" fillId="11" borderId="5" xfId="0" applyFont="1" applyFill="1" applyBorder="1" applyAlignment="1">
      <alignment vertical="center"/>
    </xf>
    <xf numFmtId="0" fontId="3" fillId="11" borderId="5" xfId="0" applyFont="1" applyFill="1" applyBorder="1" applyAlignment="1">
      <alignment vertical="center" wrapText="1"/>
    </xf>
    <xf numFmtId="0" fontId="9" fillId="0" borderId="18" xfId="0" applyFont="1" applyBorder="1"/>
    <xf numFmtId="0" fontId="2" fillId="0" borderId="18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3" fillId="11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 wrapText="1"/>
    </xf>
    <xf numFmtId="165" fontId="5" fillId="5" borderId="14" xfId="1" applyNumberFormat="1" applyFont="1" applyFill="1" applyBorder="1" applyAlignment="1" applyProtection="1"/>
    <xf numFmtId="165" fontId="2" fillId="4" borderId="14" xfId="1" applyNumberFormat="1" applyFont="1" applyFill="1" applyBorder="1" applyAlignment="1" applyProtection="1"/>
    <xf numFmtId="165" fontId="2" fillId="6" borderId="19" xfId="1" applyNumberFormat="1" applyFont="1" applyFill="1" applyBorder="1" applyAlignment="1" applyProtection="1"/>
    <xf numFmtId="165" fontId="2" fillId="6" borderId="3" xfId="1" applyNumberFormat="1" applyFont="1" applyFill="1" applyBorder="1" applyAlignment="1" applyProtection="1"/>
    <xf numFmtId="165" fontId="2" fillId="0" borderId="14" xfId="1" applyNumberFormat="1" applyFont="1" applyFill="1" applyBorder="1" applyAlignment="1" applyProtection="1"/>
    <xf numFmtId="165" fontId="2" fillId="0" borderId="20" xfId="1" applyNumberFormat="1" applyFont="1" applyFill="1" applyBorder="1" applyAlignment="1" applyProtection="1"/>
    <xf numFmtId="165" fontId="2" fillId="0" borderId="19" xfId="1" applyNumberFormat="1" applyFont="1" applyFill="1" applyBorder="1" applyAlignment="1" applyProtection="1"/>
    <xf numFmtId="165" fontId="5" fillId="5" borderId="14" xfId="2" applyNumberFormat="1" applyFont="1" applyFill="1" applyBorder="1" applyAlignment="1" applyProtection="1"/>
    <xf numFmtId="165" fontId="2" fillId="4" borderId="14" xfId="2" applyNumberFormat="1" applyFont="1" applyFill="1" applyBorder="1" applyAlignment="1" applyProtection="1"/>
    <xf numFmtId="165" fontId="2" fillId="4" borderId="20" xfId="2" applyNumberFormat="1" applyFont="1" applyFill="1" applyBorder="1" applyAlignment="1" applyProtection="1"/>
    <xf numFmtId="165" fontId="5" fillId="5" borderId="3" xfId="2" applyNumberFormat="1" applyFont="1" applyFill="1" applyBorder="1" applyAlignment="1" applyProtection="1"/>
    <xf numFmtId="165" fontId="2" fillId="0" borderId="19" xfId="2" applyNumberFormat="1" applyFont="1" applyFill="1" applyBorder="1" applyAlignment="1" applyProtection="1"/>
    <xf numFmtId="165" fontId="2" fillId="6" borderId="3" xfId="2" applyNumberFormat="1" applyFont="1" applyFill="1" applyBorder="1" applyAlignment="1" applyProtection="1"/>
    <xf numFmtId="165" fontId="2" fillId="6" borderId="19" xfId="2" applyNumberFormat="1" applyFont="1" applyFill="1" applyBorder="1" applyAlignment="1" applyProtection="1"/>
    <xf numFmtId="165" fontId="2" fillId="4" borderId="21" xfId="2" applyNumberFormat="1" applyFont="1" applyFill="1" applyBorder="1" applyAlignment="1" applyProtection="1"/>
    <xf numFmtId="165" fontId="2" fillId="0" borderId="3" xfId="2" applyNumberFormat="1" applyFont="1" applyFill="1" applyBorder="1" applyAlignment="1" applyProtection="1"/>
    <xf numFmtId="165" fontId="2" fillId="0" borderId="10" xfId="2" applyNumberFormat="1" applyFont="1" applyFill="1" applyBorder="1" applyAlignment="1" applyProtection="1"/>
    <xf numFmtId="165" fontId="7" fillId="7" borderId="3" xfId="2" applyNumberFormat="1" applyFont="1" applyFill="1" applyBorder="1" applyAlignment="1" applyProtection="1"/>
    <xf numFmtId="165" fontId="2" fillId="3" borderId="19" xfId="1" applyNumberFormat="1" applyFont="1" applyFill="1" applyBorder="1" applyAlignment="1" applyProtection="1"/>
    <xf numFmtId="165" fontId="3" fillId="2" borderId="22" xfId="2" applyNumberFormat="1" applyFont="1" applyFill="1" applyBorder="1" applyAlignment="1" applyProtection="1"/>
    <xf numFmtId="0" fontId="3" fillId="11" borderId="7" xfId="0" applyFont="1" applyFill="1" applyBorder="1" applyAlignment="1">
      <alignment horizontal="center"/>
    </xf>
    <xf numFmtId="164" fontId="2" fillId="0" borderId="2" xfId="0" applyNumberFormat="1" applyFont="1" applyBorder="1"/>
    <xf numFmtId="164" fontId="2" fillId="2" borderId="2" xfId="0" applyNumberFormat="1" applyFont="1" applyFill="1" applyBorder="1"/>
    <xf numFmtId="0" fontId="14" fillId="0" borderId="2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13" borderId="7" xfId="0" applyFont="1" applyFill="1" applyBorder="1" applyAlignment="1">
      <alignment horizontal="center" vertical="center" wrapText="1"/>
    </xf>
    <xf numFmtId="0" fontId="16" fillId="13" borderId="10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6" fillId="14" borderId="16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0" borderId="0" xfId="0" applyFont="1"/>
    <xf numFmtId="165" fontId="14" fillId="0" borderId="3" xfId="1" applyNumberFormat="1" applyFont="1" applyFill="1" applyBorder="1" applyAlignment="1" applyProtection="1"/>
    <xf numFmtId="165" fontId="14" fillId="12" borderId="2" xfId="1" applyNumberFormat="1" applyFont="1" applyFill="1" applyBorder="1" applyAlignment="1" applyProtection="1"/>
    <xf numFmtId="0" fontId="17" fillId="12" borderId="19" xfId="0" applyFont="1" applyFill="1" applyBorder="1"/>
    <xf numFmtId="0" fontId="17" fillId="12" borderId="2" xfId="0" applyFont="1" applyFill="1" applyBorder="1"/>
    <xf numFmtId="0" fontId="17" fillId="12" borderId="9" xfId="0" applyFont="1" applyFill="1" applyBorder="1"/>
    <xf numFmtId="0" fontId="17" fillId="12" borderId="16" xfId="0" applyFont="1" applyFill="1" applyBorder="1"/>
    <xf numFmtId="165" fontId="14" fillId="0" borderId="0" xfId="1" applyNumberFormat="1" applyFont="1" applyFill="1" applyBorder="1" applyAlignment="1" applyProtection="1"/>
    <xf numFmtId="164" fontId="18" fillId="12" borderId="19" xfId="1" applyFont="1" applyFill="1" applyBorder="1" applyAlignment="1" applyProtection="1"/>
    <xf numFmtId="164" fontId="18" fillId="12" borderId="2" xfId="1" applyFont="1" applyFill="1" applyBorder="1" applyAlignment="1" applyProtection="1"/>
    <xf numFmtId="164" fontId="18" fillId="12" borderId="9" xfId="1" applyFont="1" applyFill="1" applyBorder="1" applyAlignment="1" applyProtection="1"/>
    <xf numFmtId="164" fontId="18" fillId="12" borderId="16" xfId="1" applyFont="1" applyFill="1" applyBorder="1" applyAlignment="1" applyProtection="1"/>
    <xf numFmtId="0" fontId="14" fillId="0" borderId="3" xfId="0" applyFont="1" applyBorder="1" applyAlignment="1">
      <alignment horizontal="center"/>
    </xf>
    <xf numFmtId="0" fontId="14" fillId="0" borderId="19" xfId="0" applyFont="1" applyBorder="1" applyAlignment="1">
      <alignment horizontal="left"/>
    </xf>
    <xf numFmtId="0" fontId="14" fillId="0" borderId="16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0" xfId="0" applyFont="1"/>
    <xf numFmtId="0" fontId="14" fillId="0" borderId="2" xfId="1" applyNumberFormat="1" applyFont="1" applyFill="1" applyBorder="1" applyAlignment="1" applyProtection="1">
      <alignment horizontal="center"/>
    </xf>
    <xf numFmtId="165" fontId="14" fillId="12" borderId="3" xfId="1" applyNumberFormat="1" applyFont="1" applyFill="1" applyBorder="1" applyAlignment="1" applyProtection="1"/>
    <xf numFmtId="0" fontId="14" fillId="12" borderId="2" xfId="0" applyFont="1" applyFill="1" applyBorder="1" applyAlignment="1">
      <alignment horizontal="center"/>
    </xf>
    <xf numFmtId="0" fontId="14" fillId="0" borderId="2" xfId="1" applyNumberFormat="1" applyFont="1" applyFill="1" applyBorder="1" applyAlignment="1" applyProtection="1">
      <alignment horizontal="center" wrapText="1"/>
    </xf>
    <xf numFmtId="165" fontId="14" fillId="12" borderId="3" xfId="2" applyNumberFormat="1" applyFont="1" applyFill="1" applyBorder="1" applyAlignment="1" applyProtection="1"/>
    <xf numFmtId="165" fontId="14" fillId="12" borderId="2" xfId="2" applyNumberFormat="1" applyFont="1" applyFill="1" applyBorder="1" applyAlignment="1" applyProtection="1"/>
    <xf numFmtId="165" fontId="14" fillId="12" borderId="14" xfId="2" applyNumberFormat="1" applyFont="1" applyFill="1" applyBorder="1" applyAlignment="1" applyProtection="1"/>
    <xf numFmtId="164" fontId="18" fillId="12" borderId="19" xfId="2" applyFont="1" applyFill="1" applyBorder="1" applyAlignment="1" applyProtection="1"/>
    <xf numFmtId="164" fontId="18" fillId="12" borderId="9" xfId="2" applyFont="1" applyFill="1" applyBorder="1" applyAlignment="1" applyProtection="1"/>
    <xf numFmtId="164" fontId="18" fillId="12" borderId="16" xfId="2" applyFont="1" applyFill="1" applyBorder="1" applyAlignment="1" applyProtection="1"/>
    <xf numFmtId="165" fontId="14" fillId="0" borderId="10" xfId="3" applyNumberFormat="1" applyFont="1" applyFill="1" applyBorder="1" applyAlignment="1" applyProtection="1"/>
    <xf numFmtId="165" fontId="14" fillId="12" borderId="2" xfId="3" applyNumberFormat="1" applyFont="1" applyFill="1" applyBorder="1" applyAlignment="1" applyProtection="1"/>
    <xf numFmtId="164" fontId="18" fillId="12" borderId="19" xfId="3" applyFont="1" applyFill="1" applyBorder="1" applyAlignment="1" applyProtection="1"/>
    <xf numFmtId="164" fontId="18" fillId="12" borderId="9" xfId="3" applyFont="1" applyFill="1" applyBorder="1" applyAlignment="1" applyProtection="1"/>
    <xf numFmtId="164" fontId="18" fillId="12" borderId="16" xfId="3" applyFont="1" applyFill="1" applyBorder="1" applyAlignment="1" applyProtection="1"/>
    <xf numFmtId="0" fontId="14" fillId="0" borderId="19" xfId="0" applyFont="1" applyBorder="1" applyAlignment="1">
      <alignment horizontal="center"/>
    </xf>
    <xf numFmtId="165" fontId="14" fillId="12" borderId="3" xfId="3" applyNumberFormat="1" applyFont="1" applyFill="1" applyBorder="1" applyAlignment="1" applyProtection="1"/>
    <xf numFmtId="165" fontId="14" fillId="12" borderId="14" xfId="3" applyNumberFormat="1" applyFont="1" applyFill="1" applyBorder="1" applyAlignment="1" applyProtection="1"/>
    <xf numFmtId="165" fontId="14" fillId="0" borderId="3" xfId="2" applyNumberFormat="1" applyFont="1" applyFill="1" applyBorder="1" applyAlignment="1" applyProtection="1"/>
    <xf numFmtId="165" fontId="14" fillId="0" borderId="0" xfId="2" applyNumberFormat="1" applyFont="1" applyFill="1" applyBorder="1" applyAlignment="1" applyProtection="1"/>
    <xf numFmtId="0" fontId="15" fillId="0" borderId="0" xfId="0" applyFont="1"/>
    <xf numFmtId="0" fontId="14" fillId="0" borderId="2" xfId="2" applyNumberFormat="1" applyFont="1" applyFill="1" applyBorder="1" applyAlignment="1" applyProtection="1">
      <alignment horizontal="center"/>
    </xf>
    <xf numFmtId="165" fontId="14" fillId="0" borderId="19" xfId="2" applyNumberFormat="1" applyFont="1" applyFill="1" applyBorder="1" applyAlignment="1" applyProtection="1"/>
    <xf numFmtId="0" fontId="14" fillId="0" borderId="14" xfId="0" applyFont="1" applyBorder="1" applyAlignment="1">
      <alignment horizontal="center"/>
    </xf>
    <xf numFmtId="0" fontId="14" fillId="12" borderId="3" xfId="0" applyFont="1" applyFill="1" applyBorder="1" applyAlignment="1">
      <alignment horizontal="center"/>
    </xf>
    <xf numFmtId="0" fontId="14" fillId="0" borderId="19" xfId="3" applyNumberFormat="1" applyFont="1" applyFill="1" applyBorder="1" applyAlignment="1" applyProtection="1">
      <alignment horizontal="center"/>
    </xf>
    <xf numFmtId="0" fontId="14" fillId="0" borderId="2" xfId="3" applyNumberFormat="1" applyFont="1" applyFill="1" applyBorder="1" applyAlignment="1" applyProtection="1">
      <alignment horizontal="center"/>
    </xf>
    <xf numFmtId="0" fontId="14" fillId="12" borderId="14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165" fontId="14" fillId="12" borderId="21" xfId="2" applyNumberFormat="1" applyFont="1" applyFill="1" applyBorder="1" applyAlignment="1" applyProtection="1"/>
    <xf numFmtId="165" fontId="14" fillId="12" borderId="19" xfId="1" applyNumberFormat="1" applyFont="1" applyFill="1" applyBorder="1" applyAlignment="1" applyProtection="1"/>
    <xf numFmtId="0" fontId="16" fillId="0" borderId="3" xfId="0" applyFont="1" applyBorder="1" applyAlignment="1">
      <alignment horizontal="center"/>
    </xf>
    <xf numFmtId="0" fontId="16" fillId="0" borderId="2" xfId="0" applyFont="1" applyBorder="1" applyAlignment="1">
      <alignment horizontal="center"/>
    </xf>
  </cellXfs>
  <cellStyles count="4">
    <cellStyle name="Comma" xfId="1" builtinId="3"/>
    <cellStyle name="Comma_Price List HCO - 01 Juni 06" xfId="3" xr:uid="{49665CE3-B5D4-4DC9-B755-AC58AE0103FD}"/>
    <cellStyle name="Comma_Price List MITRA - 01 Juni 06" xfId="2" xr:uid="{4BD6A118-2954-4957-845F-00EF5BCBA22F}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0</xdr:row>
      <xdr:rowOff>600075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11C75E65-71B2-4AB8-96D2-DBF62CEB5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268" t="3194" r="50197" b="85028"/>
        <a:stretch>
          <a:fillRect/>
        </a:stretch>
      </xdr:blipFill>
      <xdr:spPr bwMode="auto">
        <a:xfrm>
          <a:off x="0" y="0"/>
          <a:ext cx="244411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866775</xdr:colOff>
      <xdr:row>0</xdr:row>
      <xdr:rowOff>600075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3FF64DD0-EB4C-4CB1-932C-9948B3155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268" t="3194" r="50197" b="85028"/>
        <a:stretch>
          <a:fillRect/>
        </a:stretch>
      </xdr:blipFill>
      <xdr:spPr bwMode="auto">
        <a:xfrm>
          <a:off x="0" y="0"/>
          <a:ext cx="1920875" cy="155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2C2F-BA21-4F6C-B7C2-150BEAD3346E}">
  <sheetPr codeName="Sheet1">
    <tabColor rgb="FFC00000"/>
    <pageSetUpPr fitToPage="1"/>
  </sheetPr>
  <dimension ref="A1:J222"/>
  <sheetViews>
    <sheetView showGridLines="0" tabSelected="1" topLeftCell="A2" zoomScale="85" zoomScaleNormal="85" workbookViewId="0">
      <pane xSplit="3" ySplit="1" topLeftCell="D36" activePane="bottomRight" state="frozen"/>
      <selection activeCell="A2" sqref="A2"/>
      <selection pane="topRight" activeCell="D2" sqref="D2"/>
      <selection pane="bottomLeft" activeCell="A9" sqref="A9"/>
      <selection pane="bottomRight" activeCell="L42" sqref="L42"/>
    </sheetView>
  </sheetViews>
  <sheetFormatPr defaultColWidth="9.1796875" defaultRowHeight="15.5" x14ac:dyDescent="0.35"/>
  <cols>
    <col min="1" max="1" width="5.81640625" style="1" customWidth="1"/>
    <col min="2" max="2" width="21" style="1" customWidth="1"/>
    <col min="3" max="3" width="54.36328125" style="1" customWidth="1"/>
    <col min="4" max="4" width="14.54296875" style="1" customWidth="1"/>
    <col min="5" max="5" width="13.1796875" style="208" bestFit="1" customWidth="1"/>
    <col min="6" max="6" width="12" style="1" bestFit="1" customWidth="1"/>
    <col min="7" max="16384" width="9.1796875" style="1"/>
  </cols>
  <sheetData>
    <row r="1" spans="1:10" s="179" customFormat="1" ht="53.25" customHeight="1" x14ac:dyDescent="0.4">
      <c r="A1" s="180"/>
      <c r="C1" s="180"/>
      <c r="D1" s="180"/>
      <c r="E1" s="207"/>
    </row>
    <row r="2" spans="1:10" s="88" customFormat="1" ht="28.25" customHeight="1" x14ac:dyDescent="0.35">
      <c r="A2" s="209" t="s">
        <v>197</v>
      </c>
      <c r="B2" s="210" t="s">
        <v>392</v>
      </c>
      <c r="C2" s="211" t="s">
        <v>391</v>
      </c>
      <c r="D2" s="212" t="s">
        <v>591</v>
      </c>
      <c r="E2" s="213" t="s">
        <v>393</v>
      </c>
      <c r="F2" s="214" t="s">
        <v>592</v>
      </c>
      <c r="G2" s="215" t="s">
        <v>394</v>
      </c>
      <c r="H2" s="215"/>
      <c r="I2" s="215" t="s">
        <v>588</v>
      </c>
      <c r="J2" s="215" t="s">
        <v>589</v>
      </c>
    </row>
    <row r="3" spans="1:10" s="170" customFormat="1" ht="24" customHeight="1" x14ac:dyDescent="0.4">
      <c r="A3" s="216"/>
      <c r="B3" s="217"/>
      <c r="C3" s="218" t="s">
        <v>185</v>
      </c>
      <c r="D3" s="219"/>
      <c r="E3" s="220"/>
      <c r="F3" s="221"/>
      <c r="G3" s="222"/>
      <c r="H3" s="222"/>
      <c r="I3" s="222"/>
      <c r="J3" s="222"/>
    </row>
    <row r="4" spans="1:10" s="170" customFormat="1" ht="24" customHeight="1" x14ac:dyDescent="0.35">
      <c r="A4" s="216"/>
      <c r="B4" s="217"/>
      <c r="C4" s="223" t="s">
        <v>4</v>
      </c>
      <c r="D4" s="224"/>
      <c r="E4" s="225"/>
      <c r="F4" s="226"/>
      <c r="G4" s="222"/>
      <c r="H4" s="222"/>
      <c r="I4" s="222"/>
      <c r="J4" s="222"/>
    </row>
    <row r="5" spans="1:10" ht="18.75" customHeight="1" x14ac:dyDescent="0.35">
      <c r="A5" s="227">
        <v>1</v>
      </c>
      <c r="B5" s="206">
        <v>12060402</v>
      </c>
      <c r="C5" s="228" t="s">
        <v>234</v>
      </c>
      <c r="D5" s="206">
        <v>10</v>
      </c>
      <c r="E5" s="229">
        <v>0.5</v>
      </c>
      <c r="F5" s="230">
        <v>0</v>
      </c>
      <c r="G5" s="231" t="s">
        <v>395</v>
      </c>
      <c r="H5" s="231"/>
      <c r="I5" s="231" t="s">
        <v>185</v>
      </c>
      <c r="J5" s="231" t="s">
        <v>4</v>
      </c>
    </row>
    <row r="6" spans="1:10" ht="18.75" customHeight="1" x14ac:dyDescent="0.35">
      <c r="A6" s="227">
        <v>2</v>
      </c>
      <c r="B6" s="206">
        <v>12040406</v>
      </c>
      <c r="C6" s="228" t="s">
        <v>235</v>
      </c>
      <c r="D6" s="206">
        <v>10</v>
      </c>
      <c r="E6" s="229">
        <v>0.5</v>
      </c>
      <c r="F6" s="230">
        <v>0</v>
      </c>
      <c r="G6" s="231" t="s">
        <v>396</v>
      </c>
      <c r="H6" s="231"/>
      <c r="I6" s="231" t="s">
        <v>185</v>
      </c>
      <c r="J6" s="231" t="s">
        <v>4</v>
      </c>
    </row>
    <row r="7" spans="1:10" ht="18.75" customHeight="1" x14ac:dyDescent="0.35">
      <c r="A7" s="227">
        <v>3</v>
      </c>
      <c r="B7" s="206">
        <v>12010402</v>
      </c>
      <c r="C7" s="228" t="s">
        <v>236</v>
      </c>
      <c r="D7" s="206">
        <v>10</v>
      </c>
      <c r="E7" s="229">
        <v>0.5</v>
      </c>
      <c r="F7" s="230">
        <v>0</v>
      </c>
      <c r="G7" s="231" t="s">
        <v>397</v>
      </c>
      <c r="H7" s="231"/>
      <c r="I7" s="231" t="s">
        <v>185</v>
      </c>
      <c r="J7" s="231" t="s">
        <v>4</v>
      </c>
    </row>
    <row r="8" spans="1:10" ht="18.75" customHeight="1" x14ac:dyDescent="0.35">
      <c r="A8" s="227">
        <v>4</v>
      </c>
      <c r="B8" s="206">
        <v>12030403</v>
      </c>
      <c r="C8" s="228" t="s">
        <v>237</v>
      </c>
      <c r="D8" s="206">
        <v>10</v>
      </c>
      <c r="E8" s="229">
        <v>0.5</v>
      </c>
      <c r="F8" s="230">
        <v>0</v>
      </c>
      <c r="G8" s="231" t="s">
        <v>398</v>
      </c>
      <c r="H8" s="231"/>
      <c r="I8" s="231" t="s">
        <v>185</v>
      </c>
      <c r="J8" s="231" t="s">
        <v>4</v>
      </c>
    </row>
    <row r="9" spans="1:10" ht="18.75" customHeight="1" x14ac:dyDescent="0.35">
      <c r="A9" s="227">
        <v>5</v>
      </c>
      <c r="B9" s="206">
        <v>12020401</v>
      </c>
      <c r="C9" s="228" t="s">
        <v>238</v>
      </c>
      <c r="D9" s="206">
        <v>10</v>
      </c>
      <c r="E9" s="229">
        <v>0.5</v>
      </c>
      <c r="F9" s="230">
        <v>0</v>
      </c>
      <c r="G9" s="231" t="s">
        <v>399</v>
      </c>
      <c r="H9" s="231"/>
      <c r="I9" s="231" t="s">
        <v>185</v>
      </c>
      <c r="J9" s="231" t="s">
        <v>4</v>
      </c>
    </row>
    <row r="10" spans="1:10" ht="18.75" customHeight="1" x14ac:dyDescent="0.35">
      <c r="A10" s="227">
        <v>6</v>
      </c>
      <c r="B10" s="206">
        <v>12170402</v>
      </c>
      <c r="C10" s="228" t="s">
        <v>239</v>
      </c>
      <c r="D10" s="206">
        <v>10</v>
      </c>
      <c r="E10" s="229">
        <v>0.5</v>
      </c>
      <c r="F10" s="230">
        <v>0</v>
      </c>
      <c r="G10" s="231" t="s">
        <v>400</v>
      </c>
      <c r="H10" s="231"/>
      <c r="I10" s="231" t="s">
        <v>185</v>
      </c>
      <c r="J10" s="231" t="s">
        <v>4</v>
      </c>
    </row>
    <row r="11" spans="1:10" ht="18.75" customHeight="1" x14ac:dyDescent="0.35">
      <c r="A11" s="227">
        <v>7</v>
      </c>
      <c r="B11" s="206">
        <v>12040404</v>
      </c>
      <c r="C11" s="228" t="s">
        <v>240</v>
      </c>
      <c r="D11" s="206">
        <v>10</v>
      </c>
      <c r="E11" s="229">
        <v>0.5</v>
      </c>
      <c r="F11" s="230">
        <v>0</v>
      </c>
      <c r="G11" s="231" t="s">
        <v>401</v>
      </c>
      <c r="H11" s="231"/>
      <c r="I11" s="231" t="s">
        <v>185</v>
      </c>
      <c r="J11" s="231" t="s">
        <v>4</v>
      </c>
    </row>
    <row r="12" spans="1:10" ht="18.75" customHeight="1" x14ac:dyDescent="0.35">
      <c r="A12" s="227">
        <v>8</v>
      </c>
      <c r="B12" s="232">
        <v>12040403</v>
      </c>
      <c r="C12" s="228" t="s">
        <v>241</v>
      </c>
      <c r="D12" s="206">
        <v>10</v>
      </c>
      <c r="E12" s="229">
        <v>0.5</v>
      </c>
      <c r="F12" s="230">
        <v>0</v>
      </c>
      <c r="G12" s="231" t="s">
        <v>402</v>
      </c>
      <c r="H12" s="231"/>
      <c r="I12" s="231" t="s">
        <v>185</v>
      </c>
      <c r="J12" s="231" t="s">
        <v>4</v>
      </c>
    </row>
    <row r="13" spans="1:10" ht="18.75" customHeight="1" x14ac:dyDescent="0.35">
      <c r="A13" s="227">
        <v>9</v>
      </c>
      <c r="B13" s="232">
        <v>12050401</v>
      </c>
      <c r="C13" s="228" t="s">
        <v>242</v>
      </c>
      <c r="D13" s="206">
        <v>10</v>
      </c>
      <c r="E13" s="229">
        <v>0.5</v>
      </c>
      <c r="F13" s="230">
        <v>0</v>
      </c>
      <c r="G13" s="231" t="s">
        <v>403</v>
      </c>
      <c r="H13" s="231"/>
      <c r="I13" s="231" t="s">
        <v>185</v>
      </c>
      <c r="J13" s="231" t="s">
        <v>4</v>
      </c>
    </row>
    <row r="14" spans="1:10" ht="23.25" customHeight="1" x14ac:dyDescent="0.4">
      <c r="A14" s="233"/>
      <c r="B14" s="217"/>
      <c r="C14" s="218" t="s">
        <v>145</v>
      </c>
      <c r="D14" s="234"/>
      <c r="E14" s="220"/>
      <c r="F14" s="221"/>
      <c r="G14" s="231"/>
      <c r="H14" s="231"/>
      <c r="I14" s="231"/>
      <c r="J14" s="231"/>
    </row>
    <row r="15" spans="1:10" ht="24" customHeight="1" x14ac:dyDescent="0.35">
      <c r="A15" s="233"/>
      <c r="B15" s="217"/>
      <c r="C15" s="223" t="s">
        <v>4</v>
      </c>
      <c r="D15" s="234"/>
      <c r="E15" s="225"/>
      <c r="F15" s="226"/>
      <c r="G15" s="231"/>
      <c r="H15" s="231"/>
      <c r="I15" s="231"/>
      <c r="J15" s="231"/>
    </row>
    <row r="16" spans="1:10" ht="18.75" customHeight="1" x14ac:dyDescent="0.35">
      <c r="A16" s="227">
        <v>1</v>
      </c>
      <c r="B16" s="206">
        <v>12060104</v>
      </c>
      <c r="C16" s="228" t="s">
        <v>243</v>
      </c>
      <c r="D16" s="206">
        <v>12</v>
      </c>
      <c r="E16" s="229">
        <v>0.4</v>
      </c>
      <c r="F16" s="230">
        <v>0</v>
      </c>
      <c r="G16" s="231" t="s">
        <v>404</v>
      </c>
      <c r="H16" s="231"/>
      <c r="I16" s="231" t="s">
        <v>145</v>
      </c>
      <c r="J16" s="231" t="s">
        <v>4</v>
      </c>
    </row>
    <row r="17" spans="1:10" ht="18.75" customHeight="1" x14ac:dyDescent="0.35">
      <c r="A17" s="227">
        <v>2</v>
      </c>
      <c r="B17" s="206">
        <v>12060103</v>
      </c>
      <c r="C17" s="228" t="s">
        <v>244</v>
      </c>
      <c r="D17" s="206">
        <v>24</v>
      </c>
      <c r="E17" s="229">
        <v>0.2</v>
      </c>
      <c r="F17" s="230">
        <v>0</v>
      </c>
      <c r="G17" s="231" t="s">
        <v>405</v>
      </c>
      <c r="H17" s="231"/>
      <c r="I17" s="231" t="s">
        <v>145</v>
      </c>
      <c r="J17" s="231" t="s">
        <v>4</v>
      </c>
    </row>
    <row r="18" spans="1:10" ht="18.75" customHeight="1" x14ac:dyDescent="0.35">
      <c r="A18" s="227">
        <v>3</v>
      </c>
      <c r="B18" s="206">
        <v>12040101</v>
      </c>
      <c r="C18" s="228" t="s">
        <v>245</v>
      </c>
      <c r="D18" s="206">
        <v>12</v>
      </c>
      <c r="E18" s="229">
        <v>0.4</v>
      </c>
      <c r="F18" s="230">
        <v>0</v>
      </c>
      <c r="G18" s="231" t="s">
        <v>406</v>
      </c>
      <c r="H18" s="231"/>
      <c r="I18" s="231" t="s">
        <v>145</v>
      </c>
      <c r="J18" s="231" t="s">
        <v>4</v>
      </c>
    </row>
    <row r="19" spans="1:10" ht="18.75" customHeight="1" x14ac:dyDescent="0.35">
      <c r="A19" s="227">
        <v>4</v>
      </c>
      <c r="B19" s="206">
        <v>12010112</v>
      </c>
      <c r="C19" s="228" t="s">
        <v>246</v>
      </c>
      <c r="D19" s="206">
        <v>12</v>
      </c>
      <c r="E19" s="229">
        <v>0.4</v>
      </c>
      <c r="F19" s="230">
        <v>0</v>
      </c>
      <c r="G19" s="231" t="s">
        <v>407</v>
      </c>
      <c r="H19" s="231"/>
      <c r="I19" s="231" t="s">
        <v>145</v>
      </c>
      <c r="J19" s="231" t="s">
        <v>4</v>
      </c>
    </row>
    <row r="20" spans="1:10" ht="18.75" customHeight="1" x14ac:dyDescent="0.35">
      <c r="A20" s="227">
        <v>5</v>
      </c>
      <c r="B20" s="206">
        <v>12010113</v>
      </c>
      <c r="C20" s="228" t="s">
        <v>247</v>
      </c>
      <c r="D20" s="206">
        <v>24</v>
      </c>
      <c r="E20" s="229">
        <v>0.2</v>
      </c>
      <c r="F20" s="230">
        <v>0</v>
      </c>
      <c r="G20" s="231" t="s">
        <v>408</v>
      </c>
      <c r="H20" s="231"/>
      <c r="I20" s="231" t="s">
        <v>145</v>
      </c>
      <c r="J20" s="231" t="s">
        <v>4</v>
      </c>
    </row>
    <row r="21" spans="1:10" ht="18.75" customHeight="1" x14ac:dyDescent="0.35">
      <c r="A21" s="227">
        <v>6</v>
      </c>
      <c r="B21" s="206">
        <v>12030101</v>
      </c>
      <c r="C21" s="228" t="s">
        <v>248</v>
      </c>
      <c r="D21" s="206">
        <v>12</v>
      </c>
      <c r="E21" s="229">
        <v>0.4</v>
      </c>
      <c r="F21" s="230">
        <v>0</v>
      </c>
      <c r="G21" s="231" t="s">
        <v>409</v>
      </c>
      <c r="H21" s="231"/>
      <c r="I21" s="231" t="s">
        <v>145</v>
      </c>
      <c r="J21" s="231" t="s">
        <v>4</v>
      </c>
    </row>
    <row r="22" spans="1:10" ht="18.75" customHeight="1" x14ac:dyDescent="0.35">
      <c r="A22" s="227">
        <v>7</v>
      </c>
      <c r="B22" s="206">
        <v>12030102</v>
      </c>
      <c r="C22" s="228" t="s">
        <v>249</v>
      </c>
      <c r="D22" s="206">
        <v>24</v>
      </c>
      <c r="E22" s="229">
        <v>0.2</v>
      </c>
      <c r="F22" s="230">
        <v>0</v>
      </c>
      <c r="G22" s="231" t="s">
        <v>410</v>
      </c>
      <c r="H22" s="231"/>
      <c r="I22" s="231" t="s">
        <v>145</v>
      </c>
      <c r="J22" s="231" t="s">
        <v>4</v>
      </c>
    </row>
    <row r="23" spans="1:10" ht="18.75" customHeight="1" x14ac:dyDescent="0.35">
      <c r="A23" s="227">
        <v>8</v>
      </c>
      <c r="B23" s="206">
        <v>12050103</v>
      </c>
      <c r="C23" s="228" t="s">
        <v>250</v>
      </c>
      <c r="D23" s="206">
        <v>12</v>
      </c>
      <c r="E23" s="229">
        <v>0.4</v>
      </c>
      <c r="F23" s="230">
        <v>0</v>
      </c>
      <c r="G23" s="231" t="s">
        <v>411</v>
      </c>
      <c r="H23" s="231"/>
      <c r="I23" s="231" t="s">
        <v>145</v>
      </c>
      <c r="J23" s="231" t="s">
        <v>4</v>
      </c>
    </row>
    <row r="24" spans="1:10" ht="17.25" customHeight="1" x14ac:dyDescent="0.35">
      <c r="A24" s="227">
        <v>9</v>
      </c>
      <c r="B24" s="206">
        <v>12080101</v>
      </c>
      <c r="C24" s="228" t="s">
        <v>251</v>
      </c>
      <c r="D24" s="206">
        <v>12</v>
      </c>
      <c r="E24" s="229">
        <v>0.4</v>
      </c>
      <c r="F24" s="230">
        <v>0</v>
      </c>
      <c r="G24" s="231" t="s">
        <v>412</v>
      </c>
      <c r="H24" s="231"/>
      <c r="I24" s="231" t="s">
        <v>145</v>
      </c>
      <c r="J24" s="231" t="s">
        <v>4</v>
      </c>
    </row>
    <row r="25" spans="1:10" ht="18" customHeight="1" x14ac:dyDescent="0.35">
      <c r="A25" s="227">
        <v>10</v>
      </c>
      <c r="B25" s="206">
        <v>12020102</v>
      </c>
      <c r="C25" s="228" t="s">
        <v>252</v>
      </c>
      <c r="D25" s="206">
        <v>12</v>
      </c>
      <c r="E25" s="229">
        <v>0.4</v>
      </c>
      <c r="F25" s="230">
        <v>0</v>
      </c>
      <c r="G25" s="231" t="s">
        <v>413</v>
      </c>
      <c r="H25" s="231"/>
      <c r="I25" s="231" t="s">
        <v>145</v>
      </c>
      <c r="J25" s="231" t="s">
        <v>4</v>
      </c>
    </row>
    <row r="26" spans="1:10" ht="18.75" customHeight="1" x14ac:dyDescent="0.35">
      <c r="A26" s="227">
        <v>11</v>
      </c>
      <c r="B26" s="206">
        <v>12010117</v>
      </c>
      <c r="C26" s="228" t="s">
        <v>253</v>
      </c>
      <c r="D26" s="206">
        <v>12</v>
      </c>
      <c r="E26" s="229">
        <v>0.4</v>
      </c>
      <c r="F26" s="230">
        <v>0</v>
      </c>
      <c r="G26" s="231" t="s">
        <v>414</v>
      </c>
      <c r="H26" s="231"/>
      <c r="I26" s="231" t="s">
        <v>145</v>
      </c>
      <c r="J26" s="231" t="s">
        <v>4</v>
      </c>
    </row>
    <row r="27" spans="1:10" ht="18.75" customHeight="1" x14ac:dyDescent="0.35">
      <c r="A27" s="227">
        <v>12</v>
      </c>
      <c r="B27" s="206">
        <v>12010116</v>
      </c>
      <c r="C27" s="228" t="s">
        <v>254</v>
      </c>
      <c r="D27" s="206">
        <v>12</v>
      </c>
      <c r="E27" s="229">
        <v>0.4</v>
      </c>
      <c r="F27" s="230">
        <v>0</v>
      </c>
      <c r="G27" s="231" t="s">
        <v>415</v>
      </c>
      <c r="H27" s="231"/>
      <c r="I27" s="231" t="s">
        <v>145</v>
      </c>
      <c r="J27" s="231" t="s">
        <v>4</v>
      </c>
    </row>
    <row r="28" spans="1:10" ht="18.75" customHeight="1" x14ac:dyDescent="0.35">
      <c r="A28" s="227">
        <v>13</v>
      </c>
      <c r="B28" s="206">
        <v>12070101</v>
      </c>
      <c r="C28" s="228" t="s">
        <v>255</v>
      </c>
      <c r="D28" s="206">
        <v>12</v>
      </c>
      <c r="E28" s="229">
        <v>0.4</v>
      </c>
      <c r="F28" s="230">
        <v>0</v>
      </c>
      <c r="G28" s="231" t="s">
        <v>416</v>
      </c>
      <c r="H28" s="231"/>
      <c r="I28" s="231" t="s">
        <v>145</v>
      </c>
      <c r="J28" s="231" t="s">
        <v>4</v>
      </c>
    </row>
    <row r="29" spans="1:10" ht="18.75" customHeight="1" x14ac:dyDescent="0.35">
      <c r="A29" s="227">
        <v>14</v>
      </c>
      <c r="B29" s="206">
        <v>12150201</v>
      </c>
      <c r="C29" s="228" t="s">
        <v>256</v>
      </c>
      <c r="D29" s="206">
        <v>10</v>
      </c>
      <c r="E29" s="229">
        <v>0.3</v>
      </c>
      <c r="F29" s="230">
        <v>0</v>
      </c>
      <c r="G29" s="231" t="s">
        <v>417</v>
      </c>
      <c r="H29" s="231"/>
      <c r="I29" s="231" t="s">
        <v>145</v>
      </c>
      <c r="J29" s="231" t="s">
        <v>4</v>
      </c>
    </row>
    <row r="30" spans="1:10" ht="18.75" customHeight="1" x14ac:dyDescent="0.35">
      <c r="A30" s="227">
        <v>15</v>
      </c>
      <c r="B30" s="206">
        <v>12140105</v>
      </c>
      <c r="C30" s="228" t="s">
        <v>204</v>
      </c>
      <c r="D30" s="206">
        <v>12</v>
      </c>
      <c r="E30" s="229">
        <v>0.4</v>
      </c>
      <c r="F30" s="230">
        <v>0</v>
      </c>
      <c r="G30" s="231" t="s">
        <v>418</v>
      </c>
      <c r="H30" s="231"/>
      <c r="I30" s="231" t="s">
        <v>145</v>
      </c>
      <c r="J30" s="231" t="s">
        <v>4</v>
      </c>
    </row>
    <row r="31" spans="1:10" ht="18.75" customHeight="1" x14ac:dyDescent="0.35">
      <c r="A31" s="227">
        <v>16</v>
      </c>
      <c r="B31" s="206">
        <v>12010119</v>
      </c>
      <c r="C31" s="228" t="s">
        <v>257</v>
      </c>
      <c r="D31" s="206">
        <v>12</v>
      </c>
      <c r="E31" s="229">
        <v>0.4</v>
      </c>
      <c r="F31" s="230">
        <v>0</v>
      </c>
      <c r="G31" s="231" t="s">
        <v>419</v>
      </c>
      <c r="H31" s="231"/>
      <c r="I31" s="231" t="s">
        <v>145</v>
      </c>
      <c r="J31" s="231" t="s">
        <v>4</v>
      </c>
    </row>
    <row r="32" spans="1:10" ht="18.75" customHeight="1" x14ac:dyDescent="0.35">
      <c r="A32" s="227">
        <v>17</v>
      </c>
      <c r="B32" s="206">
        <v>12010121</v>
      </c>
      <c r="C32" s="228" t="s">
        <v>258</v>
      </c>
      <c r="D32" s="206">
        <v>12</v>
      </c>
      <c r="E32" s="229">
        <v>0.4</v>
      </c>
      <c r="F32" s="230">
        <v>0</v>
      </c>
      <c r="G32" s="231" t="s">
        <v>420</v>
      </c>
      <c r="H32" s="231"/>
      <c r="I32" s="231" t="s">
        <v>145</v>
      </c>
      <c r="J32" s="231" t="s">
        <v>4</v>
      </c>
    </row>
    <row r="33" spans="1:10" ht="18.75" customHeight="1" x14ac:dyDescent="0.35">
      <c r="A33" s="227">
        <v>18</v>
      </c>
      <c r="B33" s="206">
        <v>12010115</v>
      </c>
      <c r="C33" s="228" t="s">
        <v>259</v>
      </c>
      <c r="D33" s="206">
        <v>12</v>
      </c>
      <c r="E33" s="229">
        <v>0.4</v>
      </c>
      <c r="F33" s="230">
        <v>0</v>
      </c>
      <c r="G33" s="231" t="s">
        <v>421</v>
      </c>
      <c r="H33" s="231"/>
      <c r="I33" s="231" t="s">
        <v>145</v>
      </c>
      <c r="J33" s="231" t="s">
        <v>4</v>
      </c>
    </row>
    <row r="34" spans="1:10" ht="18.75" customHeight="1" x14ac:dyDescent="0.35">
      <c r="A34" s="227">
        <v>19</v>
      </c>
      <c r="B34" s="206">
        <v>12190103</v>
      </c>
      <c r="C34" s="228" t="s">
        <v>260</v>
      </c>
      <c r="D34" s="206">
        <v>12</v>
      </c>
      <c r="E34" s="229">
        <v>0.4</v>
      </c>
      <c r="F34" s="230">
        <v>0</v>
      </c>
      <c r="G34" s="231" t="s">
        <v>422</v>
      </c>
      <c r="H34" s="231"/>
      <c r="I34" s="231" t="s">
        <v>145</v>
      </c>
      <c r="J34" s="231" t="s">
        <v>4</v>
      </c>
    </row>
    <row r="35" spans="1:10" ht="18.75" customHeight="1" x14ac:dyDescent="0.35">
      <c r="A35" s="227">
        <v>20</v>
      </c>
      <c r="B35" s="206">
        <v>12010124</v>
      </c>
      <c r="C35" s="228" t="s">
        <v>261</v>
      </c>
      <c r="D35" s="206">
        <v>12</v>
      </c>
      <c r="E35" s="229">
        <v>0.4</v>
      </c>
      <c r="F35" s="230">
        <v>0</v>
      </c>
      <c r="G35" s="231" t="s">
        <v>423</v>
      </c>
      <c r="H35" s="231"/>
      <c r="I35" s="231" t="s">
        <v>145</v>
      </c>
      <c r="J35" s="231" t="s">
        <v>4</v>
      </c>
    </row>
    <row r="36" spans="1:10" ht="18.75" customHeight="1" x14ac:dyDescent="0.35">
      <c r="A36" s="227">
        <v>21</v>
      </c>
      <c r="B36" s="232">
        <v>16060120</v>
      </c>
      <c r="C36" s="228" t="s">
        <v>262</v>
      </c>
      <c r="D36" s="206">
        <v>12</v>
      </c>
      <c r="E36" s="229">
        <v>0.4</v>
      </c>
      <c r="F36" s="230">
        <v>0</v>
      </c>
      <c r="G36" s="231" t="s">
        <v>424</v>
      </c>
      <c r="H36" s="231"/>
      <c r="I36" s="231" t="s">
        <v>145</v>
      </c>
      <c r="J36" s="231" t="s">
        <v>4</v>
      </c>
    </row>
    <row r="37" spans="1:10" ht="18.75" customHeight="1" x14ac:dyDescent="0.35">
      <c r="A37" s="227">
        <v>22</v>
      </c>
      <c r="B37" s="232">
        <v>12010122</v>
      </c>
      <c r="C37" s="228" t="s">
        <v>263</v>
      </c>
      <c r="D37" s="206">
        <v>12</v>
      </c>
      <c r="E37" s="229">
        <v>0.4</v>
      </c>
      <c r="F37" s="230">
        <v>0</v>
      </c>
      <c r="G37" s="231" t="s">
        <v>425</v>
      </c>
      <c r="H37" s="231"/>
      <c r="I37" s="231" t="s">
        <v>145</v>
      </c>
      <c r="J37" s="231" t="s">
        <v>4</v>
      </c>
    </row>
    <row r="38" spans="1:10" ht="18.75" customHeight="1" x14ac:dyDescent="0.35">
      <c r="A38" s="227">
        <v>23</v>
      </c>
      <c r="B38" s="232">
        <v>12130102</v>
      </c>
      <c r="C38" s="228" t="s">
        <v>264</v>
      </c>
      <c r="D38" s="206">
        <v>20</v>
      </c>
      <c r="E38" s="229">
        <v>0.36</v>
      </c>
      <c r="F38" s="230">
        <v>0</v>
      </c>
      <c r="G38" s="231" t="s">
        <v>426</v>
      </c>
      <c r="H38" s="231"/>
      <c r="I38" s="231" t="s">
        <v>145</v>
      </c>
      <c r="J38" s="231" t="s">
        <v>4</v>
      </c>
    </row>
    <row r="39" spans="1:10" ht="18.75" customHeight="1" x14ac:dyDescent="0.35">
      <c r="A39" s="227">
        <v>24</v>
      </c>
      <c r="B39" s="232">
        <v>12010125</v>
      </c>
      <c r="C39" s="228" t="s">
        <v>265</v>
      </c>
      <c r="D39" s="206">
        <v>12</v>
      </c>
      <c r="E39" s="229">
        <v>0.4</v>
      </c>
      <c r="F39" s="230">
        <v>0</v>
      </c>
      <c r="G39" s="231" t="s">
        <v>427</v>
      </c>
      <c r="H39" s="231"/>
      <c r="I39" s="231" t="s">
        <v>145</v>
      </c>
      <c r="J39" s="231" t="s">
        <v>4</v>
      </c>
    </row>
    <row r="40" spans="1:10" ht="18.75" customHeight="1" x14ac:dyDescent="0.35">
      <c r="A40" s="227">
        <v>25</v>
      </c>
      <c r="B40" s="232">
        <v>12010126</v>
      </c>
      <c r="C40" s="228" t="s">
        <v>266</v>
      </c>
      <c r="D40" s="206">
        <v>12</v>
      </c>
      <c r="E40" s="229">
        <v>0.4</v>
      </c>
      <c r="F40" s="230">
        <v>0</v>
      </c>
      <c r="G40" s="231" t="s">
        <v>428</v>
      </c>
      <c r="H40" s="231"/>
      <c r="I40" s="231" t="s">
        <v>145</v>
      </c>
      <c r="J40" s="231" t="s">
        <v>4</v>
      </c>
    </row>
    <row r="41" spans="1:10" ht="18.75" customHeight="1" x14ac:dyDescent="0.35">
      <c r="A41" s="227">
        <v>26</v>
      </c>
      <c r="B41" s="235">
        <v>12010128</v>
      </c>
      <c r="C41" s="228" t="s">
        <v>267</v>
      </c>
      <c r="D41" s="206">
        <v>12</v>
      </c>
      <c r="E41" s="229">
        <v>0.4</v>
      </c>
      <c r="F41" s="230">
        <v>0</v>
      </c>
      <c r="G41" s="231" t="s">
        <v>429</v>
      </c>
      <c r="H41" s="231"/>
      <c r="I41" s="231" t="s">
        <v>145</v>
      </c>
      <c r="J41" s="231" t="s">
        <v>4</v>
      </c>
    </row>
    <row r="42" spans="1:10" ht="18.75" customHeight="1" x14ac:dyDescent="0.35">
      <c r="A42" s="227">
        <v>27</v>
      </c>
      <c r="B42" s="232">
        <v>12010127</v>
      </c>
      <c r="C42" s="228" t="s">
        <v>268</v>
      </c>
      <c r="D42" s="206">
        <v>12</v>
      </c>
      <c r="E42" s="229">
        <v>0.4</v>
      </c>
      <c r="F42" s="230">
        <v>0</v>
      </c>
      <c r="G42" s="231" t="s">
        <v>430</v>
      </c>
      <c r="H42" s="231"/>
      <c r="I42" s="231" t="s">
        <v>145</v>
      </c>
      <c r="J42" s="231" t="s">
        <v>4</v>
      </c>
    </row>
    <row r="43" spans="1:10" ht="18.75" customHeight="1" x14ac:dyDescent="0.35">
      <c r="A43" s="227">
        <v>28</v>
      </c>
      <c r="B43" s="232">
        <v>12060105</v>
      </c>
      <c r="C43" s="228" t="s">
        <v>269</v>
      </c>
      <c r="D43" s="206">
        <v>12</v>
      </c>
      <c r="E43" s="229">
        <v>0.4</v>
      </c>
      <c r="F43" s="230">
        <v>0</v>
      </c>
      <c r="G43" s="231" t="s">
        <v>431</v>
      </c>
      <c r="H43" s="231"/>
      <c r="I43" s="231" t="s">
        <v>145</v>
      </c>
      <c r="J43" s="231" t="s">
        <v>4</v>
      </c>
    </row>
    <row r="44" spans="1:10" ht="18.75" customHeight="1" x14ac:dyDescent="0.35">
      <c r="A44" s="227">
        <v>29</v>
      </c>
      <c r="B44" s="232">
        <v>12010123</v>
      </c>
      <c r="C44" s="228" t="s">
        <v>270</v>
      </c>
      <c r="D44" s="206">
        <v>12</v>
      </c>
      <c r="E44" s="229">
        <v>0.4</v>
      </c>
      <c r="F44" s="230">
        <v>0</v>
      </c>
      <c r="G44" s="231" t="s">
        <v>432</v>
      </c>
      <c r="H44" s="231"/>
      <c r="I44" s="231" t="s">
        <v>145</v>
      </c>
      <c r="J44" s="231" t="s">
        <v>4</v>
      </c>
    </row>
    <row r="45" spans="1:10" ht="18.75" customHeight="1" x14ac:dyDescent="0.35">
      <c r="A45" s="227">
        <v>30</v>
      </c>
      <c r="B45" s="206">
        <v>12050104</v>
      </c>
      <c r="C45" s="228" t="s">
        <v>271</v>
      </c>
      <c r="D45" s="206">
        <v>12</v>
      </c>
      <c r="E45" s="229">
        <v>0.4</v>
      </c>
      <c r="F45" s="230">
        <v>0</v>
      </c>
      <c r="G45" s="231" t="s">
        <v>433</v>
      </c>
      <c r="H45" s="231"/>
      <c r="I45" s="231" t="s">
        <v>145</v>
      </c>
      <c r="J45" s="231" t="s">
        <v>4</v>
      </c>
    </row>
    <row r="46" spans="1:10" ht="18.75" customHeight="1" x14ac:dyDescent="0.35">
      <c r="A46" s="227">
        <v>31</v>
      </c>
      <c r="B46" s="206">
        <v>12010111</v>
      </c>
      <c r="C46" s="228" t="s">
        <v>272</v>
      </c>
      <c r="D46" s="206">
        <v>12</v>
      </c>
      <c r="E46" s="229">
        <v>0.4</v>
      </c>
      <c r="F46" s="230">
        <v>0</v>
      </c>
      <c r="G46" s="231" t="s">
        <v>434</v>
      </c>
      <c r="H46" s="231"/>
      <c r="I46" s="231" t="s">
        <v>145</v>
      </c>
      <c r="J46" s="231" t="s">
        <v>4</v>
      </c>
    </row>
    <row r="47" spans="1:10" ht="18.75" customHeight="1" x14ac:dyDescent="0.35">
      <c r="A47" s="227">
        <v>32</v>
      </c>
      <c r="B47" s="206">
        <v>12040102</v>
      </c>
      <c r="C47" s="228" t="s">
        <v>273</v>
      </c>
      <c r="D47" s="206">
        <v>12</v>
      </c>
      <c r="E47" s="229">
        <v>0.4</v>
      </c>
      <c r="F47" s="230">
        <v>0</v>
      </c>
      <c r="G47" s="231" t="s">
        <v>435</v>
      </c>
      <c r="H47" s="231"/>
      <c r="I47" s="231" t="s">
        <v>145</v>
      </c>
      <c r="J47" s="231" t="s">
        <v>4</v>
      </c>
    </row>
    <row r="48" spans="1:10" ht="18.75" customHeight="1" x14ac:dyDescent="0.35">
      <c r="A48" s="227">
        <v>33</v>
      </c>
      <c r="B48" s="206">
        <v>12010129</v>
      </c>
      <c r="C48" s="228" t="s">
        <v>274</v>
      </c>
      <c r="D48" s="206">
        <v>12</v>
      </c>
      <c r="E48" s="229">
        <v>0.4</v>
      </c>
      <c r="F48" s="230">
        <v>0</v>
      </c>
      <c r="G48" s="231" t="s">
        <v>436</v>
      </c>
      <c r="H48" s="231"/>
      <c r="I48" s="231" t="s">
        <v>145</v>
      </c>
      <c r="J48" s="231" t="s">
        <v>4</v>
      </c>
    </row>
    <row r="49" spans="1:10" ht="18.75" customHeight="1" x14ac:dyDescent="0.35">
      <c r="A49" s="227">
        <v>34</v>
      </c>
      <c r="B49" s="206">
        <v>12240102</v>
      </c>
      <c r="C49" s="228" t="s">
        <v>275</v>
      </c>
      <c r="D49" s="206">
        <v>12</v>
      </c>
      <c r="E49" s="229">
        <v>0.4</v>
      </c>
      <c r="F49" s="230">
        <v>0</v>
      </c>
      <c r="G49" s="231" t="s">
        <v>437</v>
      </c>
      <c r="H49" s="231"/>
      <c r="I49" s="231" t="s">
        <v>145</v>
      </c>
      <c r="J49" s="231" t="s">
        <v>4</v>
      </c>
    </row>
    <row r="50" spans="1:10" ht="18.75" customHeight="1" x14ac:dyDescent="0.35">
      <c r="A50" s="227">
        <v>35</v>
      </c>
      <c r="B50" s="206">
        <v>12240103</v>
      </c>
      <c r="C50" s="228" t="s">
        <v>276</v>
      </c>
      <c r="D50" s="206">
        <v>12</v>
      </c>
      <c r="E50" s="229">
        <v>0.4</v>
      </c>
      <c r="F50" s="230">
        <v>0</v>
      </c>
      <c r="G50" s="231" t="s">
        <v>438</v>
      </c>
      <c r="H50" s="231"/>
      <c r="I50" s="231" t="s">
        <v>145</v>
      </c>
      <c r="J50" s="231" t="s">
        <v>4</v>
      </c>
    </row>
    <row r="51" spans="1:10" ht="20" customHeight="1" x14ac:dyDescent="0.4">
      <c r="A51" s="236"/>
      <c r="B51" s="237"/>
      <c r="C51" s="218" t="s">
        <v>145</v>
      </c>
      <c r="D51" s="234"/>
      <c r="E51" s="220"/>
      <c r="F51" s="221"/>
      <c r="G51" s="231"/>
      <c r="H51" s="231"/>
      <c r="I51" s="231"/>
      <c r="J51" s="231"/>
    </row>
    <row r="52" spans="1:10" ht="17.5" x14ac:dyDescent="0.35">
      <c r="A52" s="233"/>
      <c r="B52" s="217"/>
      <c r="C52" s="223" t="s">
        <v>144</v>
      </c>
      <c r="D52" s="234"/>
      <c r="E52" s="225"/>
      <c r="F52" s="226"/>
      <c r="G52" s="231"/>
      <c r="H52" s="231"/>
      <c r="I52" s="231"/>
      <c r="J52" s="231"/>
    </row>
    <row r="53" spans="1:10" x14ac:dyDescent="0.35">
      <c r="A53" s="227">
        <v>1</v>
      </c>
      <c r="B53" s="206">
        <v>13030101</v>
      </c>
      <c r="C53" s="228" t="s">
        <v>200</v>
      </c>
      <c r="D53" s="206">
        <v>20</v>
      </c>
      <c r="E53" s="229">
        <v>0.3</v>
      </c>
      <c r="F53" s="230">
        <v>0</v>
      </c>
      <c r="G53" s="231" t="s">
        <v>439</v>
      </c>
      <c r="H53" s="231"/>
      <c r="I53" s="231" t="s">
        <v>145</v>
      </c>
      <c r="J53" s="231" t="s">
        <v>9</v>
      </c>
    </row>
    <row r="54" spans="1:10" x14ac:dyDescent="0.35">
      <c r="A54" s="227">
        <v>2</v>
      </c>
      <c r="B54" s="206">
        <v>13030102</v>
      </c>
      <c r="C54" s="228" t="s">
        <v>201</v>
      </c>
      <c r="D54" s="206">
        <v>10</v>
      </c>
      <c r="E54" s="229">
        <v>0.5</v>
      </c>
      <c r="F54" s="230">
        <v>0</v>
      </c>
      <c r="G54" s="231" t="s">
        <v>440</v>
      </c>
      <c r="H54" s="231"/>
      <c r="I54" s="231" t="s">
        <v>145</v>
      </c>
      <c r="J54" s="231" t="s">
        <v>9</v>
      </c>
    </row>
    <row r="55" spans="1:10" x14ac:dyDescent="0.35">
      <c r="A55" s="227">
        <v>3</v>
      </c>
      <c r="B55" s="206">
        <v>13010101</v>
      </c>
      <c r="C55" s="228" t="s">
        <v>202</v>
      </c>
      <c r="D55" s="206">
        <v>20</v>
      </c>
      <c r="E55" s="229">
        <v>0.3</v>
      </c>
      <c r="F55" s="230">
        <v>0</v>
      </c>
      <c r="G55" s="231" t="s">
        <v>441</v>
      </c>
      <c r="H55" s="231"/>
      <c r="I55" s="231" t="s">
        <v>145</v>
      </c>
      <c r="J55" s="231" t="s">
        <v>9</v>
      </c>
    </row>
    <row r="56" spans="1:10" x14ac:dyDescent="0.35">
      <c r="A56" s="227">
        <v>4</v>
      </c>
      <c r="B56" s="206">
        <v>13010102</v>
      </c>
      <c r="C56" s="228" t="s">
        <v>203</v>
      </c>
      <c r="D56" s="206">
        <v>10</v>
      </c>
      <c r="E56" s="229">
        <v>0.5</v>
      </c>
      <c r="F56" s="230">
        <v>0</v>
      </c>
      <c r="G56" s="231" t="s">
        <v>442</v>
      </c>
      <c r="H56" s="231"/>
      <c r="I56" s="231" t="s">
        <v>145</v>
      </c>
      <c r="J56" s="231" t="s">
        <v>9</v>
      </c>
    </row>
    <row r="57" spans="1:10" x14ac:dyDescent="0.35">
      <c r="A57" s="227">
        <v>5</v>
      </c>
      <c r="B57" s="206">
        <v>13050101</v>
      </c>
      <c r="C57" s="228" t="s">
        <v>277</v>
      </c>
      <c r="D57" s="206">
        <v>20</v>
      </c>
      <c r="E57" s="229">
        <v>0.25</v>
      </c>
      <c r="F57" s="230">
        <v>0</v>
      </c>
      <c r="G57" s="231" t="s">
        <v>443</v>
      </c>
      <c r="H57" s="231"/>
      <c r="I57" s="231" t="s">
        <v>145</v>
      </c>
      <c r="J57" s="231" t="s">
        <v>9</v>
      </c>
    </row>
    <row r="58" spans="1:10" x14ac:dyDescent="0.35">
      <c r="A58" s="227">
        <v>6</v>
      </c>
      <c r="B58" s="232">
        <v>13010111</v>
      </c>
      <c r="C58" s="228" t="s">
        <v>278</v>
      </c>
      <c r="D58" s="206">
        <v>20</v>
      </c>
      <c r="E58" s="229">
        <v>0.3</v>
      </c>
      <c r="F58" s="230">
        <v>0</v>
      </c>
      <c r="G58" s="231" t="s">
        <v>444</v>
      </c>
      <c r="H58" s="231"/>
      <c r="I58" s="231" t="s">
        <v>145</v>
      </c>
      <c r="J58" s="231" t="s">
        <v>9</v>
      </c>
    </row>
    <row r="59" spans="1:10" x14ac:dyDescent="0.35">
      <c r="A59" s="227">
        <v>7</v>
      </c>
      <c r="B59" s="206">
        <v>13010112</v>
      </c>
      <c r="C59" s="228" t="s">
        <v>279</v>
      </c>
      <c r="D59" s="206">
        <v>20</v>
      </c>
      <c r="E59" s="229">
        <v>0.3</v>
      </c>
      <c r="F59" s="230">
        <v>0</v>
      </c>
      <c r="G59" s="231" t="s">
        <v>445</v>
      </c>
      <c r="H59" s="231"/>
      <c r="I59" s="231" t="s">
        <v>145</v>
      </c>
      <c r="J59" s="231" t="s">
        <v>9</v>
      </c>
    </row>
    <row r="60" spans="1:10" x14ac:dyDescent="0.35">
      <c r="A60" s="227">
        <v>8</v>
      </c>
      <c r="B60" s="206">
        <v>13010113</v>
      </c>
      <c r="C60" s="228" t="s">
        <v>280</v>
      </c>
      <c r="D60" s="206">
        <v>20</v>
      </c>
      <c r="E60" s="229">
        <v>0.3</v>
      </c>
      <c r="F60" s="230">
        <v>0</v>
      </c>
      <c r="G60" s="231" t="s">
        <v>446</v>
      </c>
      <c r="H60" s="231"/>
      <c r="I60" s="231" t="s">
        <v>145</v>
      </c>
      <c r="J60" s="231" t="s">
        <v>9</v>
      </c>
    </row>
    <row r="61" spans="1:10" x14ac:dyDescent="0.35">
      <c r="A61" s="227">
        <v>9</v>
      </c>
      <c r="B61" s="206">
        <v>13050105</v>
      </c>
      <c r="C61" s="228" t="s">
        <v>281</v>
      </c>
      <c r="D61" s="206">
        <v>20</v>
      </c>
      <c r="E61" s="229">
        <v>0.3</v>
      </c>
      <c r="F61" s="230">
        <v>0</v>
      </c>
      <c r="G61" s="231" t="s">
        <v>447</v>
      </c>
      <c r="H61" s="231"/>
      <c r="I61" s="231" t="s">
        <v>145</v>
      </c>
      <c r="J61" s="231" t="s">
        <v>9</v>
      </c>
    </row>
    <row r="62" spans="1:10" x14ac:dyDescent="0.35">
      <c r="A62" s="227">
        <v>10</v>
      </c>
      <c r="B62" s="206">
        <v>13050106</v>
      </c>
      <c r="C62" s="228" t="s">
        <v>282</v>
      </c>
      <c r="D62" s="206">
        <v>20</v>
      </c>
      <c r="E62" s="229">
        <v>0.3</v>
      </c>
      <c r="F62" s="230">
        <v>0</v>
      </c>
      <c r="G62" s="231" t="s">
        <v>448</v>
      </c>
      <c r="H62" s="231"/>
      <c r="I62" s="231" t="s">
        <v>145</v>
      </c>
      <c r="J62" s="231" t="s">
        <v>9</v>
      </c>
    </row>
    <row r="63" spans="1:10" x14ac:dyDescent="0.35">
      <c r="A63" s="227">
        <v>11</v>
      </c>
      <c r="B63" s="206">
        <v>13010114</v>
      </c>
      <c r="C63" s="228" t="s">
        <v>283</v>
      </c>
      <c r="D63" s="206">
        <v>20</v>
      </c>
      <c r="E63" s="229">
        <v>0.3</v>
      </c>
      <c r="F63" s="230">
        <v>0</v>
      </c>
      <c r="G63" s="231" t="s">
        <v>449</v>
      </c>
      <c r="H63" s="231"/>
      <c r="I63" s="231" t="s">
        <v>145</v>
      </c>
      <c r="J63" s="231" t="s">
        <v>9</v>
      </c>
    </row>
    <row r="64" spans="1:10" x14ac:dyDescent="0.35">
      <c r="A64" s="227">
        <v>12</v>
      </c>
      <c r="B64" s="206">
        <v>13010115</v>
      </c>
      <c r="C64" s="228" t="s">
        <v>284</v>
      </c>
      <c r="D64" s="206">
        <v>20</v>
      </c>
      <c r="E64" s="229">
        <v>0.3</v>
      </c>
      <c r="F64" s="230">
        <v>0</v>
      </c>
      <c r="G64" s="231" t="s">
        <v>450</v>
      </c>
      <c r="H64" s="231"/>
      <c r="I64" s="231" t="s">
        <v>145</v>
      </c>
      <c r="J64" s="231" t="s">
        <v>9</v>
      </c>
    </row>
    <row r="65" spans="1:10" x14ac:dyDescent="0.35">
      <c r="A65" s="227">
        <v>13</v>
      </c>
      <c r="B65" s="206">
        <v>13010116</v>
      </c>
      <c r="C65" s="228" t="s">
        <v>285</v>
      </c>
      <c r="D65" s="206">
        <v>20</v>
      </c>
      <c r="E65" s="229">
        <v>0.3</v>
      </c>
      <c r="F65" s="230">
        <v>0</v>
      </c>
      <c r="G65" s="231" t="s">
        <v>451</v>
      </c>
      <c r="H65" s="231"/>
      <c r="I65" s="231" t="s">
        <v>145</v>
      </c>
      <c r="J65" s="231" t="s">
        <v>9</v>
      </c>
    </row>
    <row r="66" spans="1:10" x14ac:dyDescent="0.35">
      <c r="A66" s="227">
        <v>14</v>
      </c>
      <c r="B66" s="206">
        <v>13010117</v>
      </c>
      <c r="C66" s="228" t="s">
        <v>286</v>
      </c>
      <c r="D66" s="206">
        <v>20</v>
      </c>
      <c r="E66" s="229">
        <v>0.3</v>
      </c>
      <c r="F66" s="230">
        <v>0</v>
      </c>
      <c r="G66" s="231" t="s">
        <v>452</v>
      </c>
      <c r="H66" s="231"/>
      <c r="I66" s="231" t="s">
        <v>145</v>
      </c>
      <c r="J66" s="231" t="s">
        <v>9</v>
      </c>
    </row>
    <row r="67" spans="1:10" ht="17.5" x14ac:dyDescent="0.35">
      <c r="A67" s="238"/>
      <c r="B67" s="237"/>
      <c r="C67" s="239" t="s">
        <v>35</v>
      </c>
      <c r="D67" s="234"/>
      <c r="E67" s="240"/>
      <c r="F67" s="241"/>
      <c r="G67" s="231"/>
      <c r="H67" s="231"/>
      <c r="I67" s="231"/>
      <c r="J67" s="231"/>
    </row>
    <row r="68" spans="1:10" x14ac:dyDescent="0.35">
      <c r="A68" s="227">
        <v>1</v>
      </c>
      <c r="B68" s="206">
        <v>16060113</v>
      </c>
      <c r="C68" s="228" t="s">
        <v>287</v>
      </c>
      <c r="D68" s="206">
        <v>30</v>
      </c>
      <c r="E68" s="229">
        <v>0.18</v>
      </c>
      <c r="F68" s="230">
        <v>0</v>
      </c>
      <c r="G68" s="231" t="s">
        <v>453</v>
      </c>
      <c r="H68" s="231"/>
      <c r="I68" s="231" t="s">
        <v>145</v>
      </c>
      <c r="J68" s="231" t="s">
        <v>35</v>
      </c>
    </row>
    <row r="69" spans="1:10" x14ac:dyDescent="0.35">
      <c r="A69" s="227">
        <v>2</v>
      </c>
      <c r="B69" s="206">
        <v>16060103</v>
      </c>
      <c r="C69" s="228" t="s">
        <v>288</v>
      </c>
      <c r="D69" s="206">
        <v>12</v>
      </c>
      <c r="E69" s="229">
        <v>0.9</v>
      </c>
      <c r="F69" s="230">
        <v>0</v>
      </c>
      <c r="G69" s="231" t="s">
        <v>454</v>
      </c>
      <c r="H69" s="231"/>
      <c r="I69" s="231" t="s">
        <v>145</v>
      </c>
      <c r="J69" s="231" t="s">
        <v>35</v>
      </c>
    </row>
    <row r="70" spans="1:10" x14ac:dyDescent="0.35">
      <c r="A70" s="227">
        <v>3</v>
      </c>
      <c r="B70" s="232">
        <v>16060114</v>
      </c>
      <c r="C70" s="228" t="s">
        <v>289</v>
      </c>
      <c r="D70" s="206">
        <v>30</v>
      </c>
      <c r="E70" s="229">
        <v>0.18</v>
      </c>
      <c r="F70" s="230">
        <v>0</v>
      </c>
      <c r="G70" s="231" t="s">
        <v>455</v>
      </c>
      <c r="H70" s="231"/>
      <c r="I70" s="231" t="s">
        <v>145</v>
      </c>
      <c r="J70" s="231" t="s">
        <v>35</v>
      </c>
    </row>
    <row r="71" spans="1:10" x14ac:dyDescent="0.35">
      <c r="A71" s="227">
        <v>4</v>
      </c>
      <c r="B71" s="206">
        <v>16060121</v>
      </c>
      <c r="C71" s="228" t="s">
        <v>204</v>
      </c>
      <c r="D71" s="206">
        <v>12</v>
      </c>
      <c r="E71" s="229">
        <v>0.4</v>
      </c>
      <c r="F71" s="230">
        <v>0</v>
      </c>
      <c r="G71" s="231" t="s">
        <v>456</v>
      </c>
      <c r="H71" s="231"/>
      <c r="I71" s="231" t="s">
        <v>145</v>
      </c>
      <c r="J71" s="231" t="s">
        <v>35</v>
      </c>
    </row>
    <row r="72" spans="1:10" ht="17.5" x14ac:dyDescent="0.35">
      <c r="A72" s="236"/>
      <c r="B72" s="237"/>
      <c r="C72" s="239" t="s">
        <v>128</v>
      </c>
      <c r="D72" s="234"/>
      <c r="E72" s="240"/>
      <c r="F72" s="241"/>
      <c r="G72" s="231"/>
      <c r="H72" s="231"/>
      <c r="I72" s="231"/>
      <c r="J72" s="231"/>
    </row>
    <row r="73" spans="1:10" x14ac:dyDescent="0.35">
      <c r="A73" s="227">
        <v>1</v>
      </c>
      <c r="B73" s="206">
        <v>15010101</v>
      </c>
      <c r="C73" s="228" t="s">
        <v>290</v>
      </c>
      <c r="D73" s="206">
        <v>12</v>
      </c>
      <c r="E73" s="229">
        <v>0.5</v>
      </c>
      <c r="F73" s="230">
        <v>0</v>
      </c>
      <c r="G73" s="231" t="s">
        <v>457</v>
      </c>
      <c r="H73" s="231"/>
      <c r="I73" s="231" t="s">
        <v>145</v>
      </c>
      <c r="J73" s="231" t="s">
        <v>128</v>
      </c>
    </row>
    <row r="74" spans="1:10" x14ac:dyDescent="0.35">
      <c r="A74" s="227">
        <v>2</v>
      </c>
      <c r="B74" s="206">
        <v>15010102</v>
      </c>
      <c r="C74" s="228" t="s">
        <v>291</v>
      </c>
      <c r="D74" s="206">
        <v>12</v>
      </c>
      <c r="E74" s="229">
        <v>1</v>
      </c>
      <c r="F74" s="230">
        <v>0</v>
      </c>
      <c r="G74" s="231" t="s">
        <v>458</v>
      </c>
      <c r="H74" s="231"/>
      <c r="I74" s="231" t="s">
        <v>145</v>
      </c>
      <c r="J74" s="231" t="s">
        <v>128</v>
      </c>
    </row>
    <row r="75" spans="1:10" x14ac:dyDescent="0.35">
      <c r="A75" s="227">
        <v>3</v>
      </c>
      <c r="B75" s="206">
        <v>15010107</v>
      </c>
      <c r="C75" s="228" t="s">
        <v>205</v>
      </c>
      <c r="D75" s="206">
        <v>6</v>
      </c>
      <c r="E75" s="229">
        <v>2</v>
      </c>
      <c r="F75" s="230">
        <v>0</v>
      </c>
      <c r="G75" s="231" t="s">
        <v>459</v>
      </c>
      <c r="H75" s="231"/>
      <c r="I75" s="231" t="s">
        <v>145</v>
      </c>
      <c r="J75" s="231" t="s">
        <v>128</v>
      </c>
    </row>
    <row r="76" spans="1:10" x14ac:dyDescent="0.35">
      <c r="A76" s="227">
        <v>4</v>
      </c>
      <c r="B76" s="206">
        <v>15020101</v>
      </c>
      <c r="C76" s="228" t="s">
        <v>292</v>
      </c>
      <c r="D76" s="206">
        <v>12</v>
      </c>
      <c r="E76" s="229">
        <v>0.5</v>
      </c>
      <c r="F76" s="230">
        <v>0</v>
      </c>
      <c r="G76" s="231" t="s">
        <v>460</v>
      </c>
      <c r="H76" s="231"/>
      <c r="I76" s="231" t="s">
        <v>145</v>
      </c>
      <c r="J76" s="231" t="s">
        <v>128</v>
      </c>
    </row>
    <row r="77" spans="1:10" x14ac:dyDescent="0.35">
      <c r="A77" s="227">
        <v>5</v>
      </c>
      <c r="B77" s="206">
        <v>15020102</v>
      </c>
      <c r="C77" s="228" t="s">
        <v>293</v>
      </c>
      <c r="D77" s="206">
        <v>12</v>
      </c>
      <c r="E77" s="229">
        <v>1</v>
      </c>
      <c r="F77" s="230">
        <v>0</v>
      </c>
      <c r="G77" s="231" t="s">
        <v>461</v>
      </c>
      <c r="H77" s="231"/>
      <c r="I77" s="231" t="s">
        <v>145</v>
      </c>
      <c r="J77" s="231" t="s">
        <v>128</v>
      </c>
    </row>
    <row r="78" spans="1:10" x14ac:dyDescent="0.35">
      <c r="A78" s="227">
        <v>6</v>
      </c>
      <c r="B78" s="206">
        <v>15030101</v>
      </c>
      <c r="C78" s="228" t="s">
        <v>294</v>
      </c>
      <c r="D78" s="206">
        <v>12</v>
      </c>
      <c r="E78" s="229">
        <v>0.5</v>
      </c>
      <c r="F78" s="230">
        <v>0</v>
      </c>
      <c r="G78" s="231" t="s">
        <v>462</v>
      </c>
      <c r="H78" s="231"/>
      <c r="I78" s="231" t="s">
        <v>145</v>
      </c>
      <c r="J78" s="231" t="s">
        <v>128</v>
      </c>
    </row>
    <row r="79" spans="1:10" x14ac:dyDescent="0.35">
      <c r="A79" s="227">
        <v>7</v>
      </c>
      <c r="B79" s="206">
        <v>15030102</v>
      </c>
      <c r="C79" s="228" t="s">
        <v>295</v>
      </c>
      <c r="D79" s="206">
        <v>12</v>
      </c>
      <c r="E79" s="229">
        <v>1</v>
      </c>
      <c r="F79" s="230">
        <v>0</v>
      </c>
      <c r="G79" s="231" t="s">
        <v>463</v>
      </c>
      <c r="H79" s="231"/>
      <c r="I79" s="231" t="s">
        <v>145</v>
      </c>
      <c r="J79" s="231" t="s">
        <v>128</v>
      </c>
    </row>
    <row r="80" spans="1:10" x14ac:dyDescent="0.35">
      <c r="A80" s="227">
        <v>8</v>
      </c>
      <c r="B80" s="206">
        <v>15040101</v>
      </c>
      <c r="C80" s="228" t="s">
        <v>296</v>
      </c>
      <c r="D80" s="206">
        <v>12</v>
      </c>
      <c r="E80" s="229">
        <v>0.5</v>
      </c>
      <c r="F80" s="230">
        <v>0</v>
      </c>
      <c r="G80" s="231" t="s">
        <v>464</v>
      </c>
      <c r="H80" s="231"/>
      <c r="I80" s="231" t="s">
        <v>145</v>
      </c>
      <c r="J80" s="231" t="s">
        <v>128</v>
      </c>
    </row>
    <row r="81" spans="1:10" x14ac:dyDescent="0.35">
      <c r="A81" s="227">
        <v>9</v>
      </c>
      <c r="B81" s="206">
        <v>15040102</v>
      </c>
      <c r="C81" s="228" t="s">
        <v>297</v>
      </c>
      <c r="D81" s="206">
        <v>12</v>
      </c>
      <c r="E81" s="229">
        <v>1</v>
      </c>
      <c r="F81" s="230">
        <v>0</v>
      </c>
      <c r="G81" s="231" t="s">
        <v>465</v>
      </c>
      <c r="H81" s="231"/>
      <c r="I81" s="231" t="s">
        <v>145</v>
      </c>
      <c r="J81" s="231" t="s">
        <v>128</v>
      </c>
    </row>
    <row r="82" spans="1:10" ht="17.5" x14ac:dyDescent="0.35">
      <c r="A82" s="242"/>
      <c r="B82" s="243"/>
      <c r="C82" s="244" t="s">
        <v>122</v>
      </c>
      <c r="D82" s="234"/>
      <c r="E82" s="245"/>
      <c r="F82" s="246"/>
      <c r="G82" s="231"/>
      <c r="H82" s="231"/>
      <c r="I82" s="231"/>
      <c r="J82" s="231"/>
    </row>
    <row r="83" spans="1:10" x14ac:dyDescent="0.35">
      <c r="A83" s="247">
        <v>1</v>
      </c>
      <c r="B83" s="206">
        <v>21010101</v>
      </c>
      <c r="C83" s="228" t="s">
        <v>298</v>
      </c>
      <c r="D83" s="206">
        <v>6</v>
      </c>
      <c r="E83" s="229">
        <v>0.32</v>
      </c>
      <c r="F83" s="230">
        <v>0</v>
      </c>
      <c r="G83" s="231" t="s">
        <v>466</v>
      </c>
      <c r="H83" s="231"/>
      <c r="I83" s="231" t="s">
        <v>590</v>
      </c>
      <c r="J83" s="231" t="s">
        <v>122</v>
      </c>
    </row>
    <row r="84" spans="1:10" x14ac:dyDescent="0.35">
      <c r="A84" s="247">
        <v>2</v>
      </c>
      <c r="B84" s="206">
        <v>21000123</v>
      </c>
      <c r="C84" s="228" t="s">
        <v>206</v>
      </c>
      <c r="D84" s="206">
        <v>6</v>
      </c>
      <c r="E84" s="229">
        <v>0.32</v>
      </c>
      <c r="F84" s="230">
        <v>0</v>
      </c>
      <c r="G84" s="231" t="s">
        <v>467</v>
      </c>
      <c r="H84" s="231"/>
      <c r="I84" s="231" t="s">
        <v>590</v>
      </c>
      <c r="J84" s="231" t="s">
        <v>122</v>
      </c>
    </row>
    <row r="85" spans="1:10" x14ac:dyDescent="0.35">
      <c r="A85" s="247">
        <v>3</v>
      </c>
      <c r="B85" s="206">
        <v>21000124</v>
      </c>
      <c r="C85" s="228" t="s">
        <v>299</v>
      </c>
      <c r="D85" s="206">
        <v>6</v>
      </c>
      <c r="E85" s="229">
        <v>0.32</v>
      </c>
      <c r="F85" s="230">
        <v>0</v>
      </c>
      <c r="G85" s="231" t="s">
        <v>468</v>
      </c>
      <c r="H85" s="231"/>
      <c r="I85" s="231" t="s">
        <v>590</v>
      </c>
      <c r="J85" s="231" t="s">
        <v>122</v>
      </c>
    </row>
    <row r="86" spans="1:10" x14ac:dyDescent="0.35">
      <c r="A86" s="247">
        <v>4</v>
      </c>
      <c r="B86" s="206">
        <v>21000125</v>
      </c>
      <c r="C86" s="228" t="s">
        <v>300</v>
      </c>
      <c r="D86" s="206">
        <v>6</v>
      </c>
      <c r="E86" s="229">
        <v>0.32</v>
      </c>
      <c r="F86" s="230">
        <v>0</v>
      </c>
      <c r="G86" s="231" t="s">
        <v>469</v>
      </c>
      <c r="H86" s="231"/>
      <c r="I86" s="231" t="s">
        <v>590</v>
      </c>
      <c r="J86" s="231" t="s">
        <v>122</v>
      </c>
    </row>
    <row r="87" spans="1:10" x14ac:dyDescent="0.35">
      <c r="A87" s="247">
        <v>5</v>
      </c>
      <c r="B87" s="206">
        <v>21000126</v>
      </c>
      <c r="C87" s="228" t="s">
        <v>301</v>
      </c>
      <c r="D87" s="206">
        <v>6</v>
      </c>
      <c r="E87" s="229">
        <v>0.32</v>
      </c>
      <c r="F87" s="230">
        <v>0</v>
      </c>
      <c r="G87" s="231" t="s">
        <v>470</v>
      </c>
      <c r="H87" s="231"/>
      <c r="I87" s="231" t="s">
        <v>590</v>
      </c>
      <c r="J87" s="231" t="s">
        <v>122</v>
      </c>
    </row>
    <row r="88" spans="1:10" x14ac:dyDescent="0.35">
      <c r="A88" s="247">
        <v>6</v>
      </c>
      <c r="B88" s="206">
        <v>21000127</v>
      </c>
      <c r="C88" s="228" t="s">
        <v>302</v>
      </c>
      <c r="D88" s="206">
        <v>6</v>
      </c>
      <c r="E88" s="229">
        <v>0.32</v>
      </c>
      <c r="F88" s="230">
        <v>0</v>
      </c>
      <c r="G88" s="231" t="s">
        <v>471</v>
      </c>
      <c r="H88" s="231"/>
      <c r="I88" s="231" t="s">
        <v>590</v>
      </c>
      <c r="J88" s="231" t="s">
        <v>122</v>
      </c>
    </row>
    <row r="89" spans="1:10" x14ac:dyDescent="0.35">
      <c r="A89" s="247">
        <v>7</v>
      </c>
      <c r="B89" s="206">
        <v>21000128</v>
      </c>
      <c r="C89" s="228" t="s">
        <v>303</v>
      </c>
      <c r="D89" s="206">
        <v>6</v>
      </c>
      <c r="E89" s="229">
        <v>0.32</v>
      </c>
      <c r="F89" s="230">
        <v>0</v>
      </c>
      <c r="G89" s="231" t="s">
        <v>472</v>
      </c>
      <c r="H89" s="231"/>
      <c r="I89" s="231" t="s">
        <v>590</v>
      </c>
      <c r="J89" s="231" t="s">
        <v>122</v>
      </c>
    </row>
    <row r="90" spans="1:10" x14ac:dyDescent="0.35">
      <c r="A90" s="247">
        <v>8</v>
      </c>
      <c r="B90" s="206">
        <v>21000129</v>
      </c>
      <c r="C90" s="228" t="s">
        <v>304</v>
      </c>
      <c r="D90" s="206">
        <v>6</v>
      </c>
      <c r="E90" s="229">
        <v>0.32</v>
      </c>
      <c r="F90" s="230">
        <v>0</v>
      </c>
      <c r="G90" s="231" t="s">
        <v>473</v>
      </c>
      <c r="H90" s="231"/>
      <c r="I90" s="231" t="s">
        <v>590</v>
      </c>
      <c r="J90" s="231" t="s">
        <v>122</v>
      </c>
    </row>
    <row r="91" spans="1:10" x14ac:dyDescent="0.35">
      <c r="A91" s="247">
        <v>9</v>
      </c>
      <c r="B91" s="206">
        <v>21000130</v>
      </c>
      <c r="C91" s="228" t="s">
        <v>305</v>
      </c>
      <c r="D91" s="206">
        <v>6</v>
      </c>
      <c r="E91" s="229">
        <v>0.32</v>
      </c>
      <c r="F91" s="230">
        <v>0</v>
      </c>
      <c r="G91" s="231" t="s">
        <v>474</v>
      </c>
      <c r="H91" s="231"/>
      <c r="I91" s="231" t="s">
        <v>590</v>
      </c>
      <c r="J91" s="231" t="s">
        <v>122</v>
      </c>
    </row>
    <row r="92" spans="1:10" x14ac:dyDescent="0.35">
      <c r="A92" s="247">
        <v>10</v>
      </c>
      <c r="B92" s="206">
        <v>21000131</v>
      </c>
      <c r="C92" s="228" t="s">
        <v>306</v>
      </c>
      <c r="D92" s="206">
        <v>6</v>
      </c>
      <c r="E92" s="229">
        <v>0.32</v>
      </c>
      <c r="F92" s="230">
        <v>0</v>
      </c>
      <c r="G92" s="231" t="s">
        <v>475</v>
      </c>
      <c r="H92" s="231"/>
      <c r="I92" s="231" t="s">
        <v>590</v>
      </c>
      <c r="J92" s="231" t="s">
        <v>122</v>
      </c>
    </row>
    <row r="93" spans="1:10" x14ac:dyDescent="0.35">
      <c r="A93" s="247">
        <v>11</v>
      </c>
      <c r="B93" s="206">
        <v>21000132</v>
      </c>
      <c r="C93" s="228" t="s">
        <v>307</v>
      </c>
      <c r="D93" s="206">
        <v>6</v>
      </c>
      <c r="E93" s="229">
        <v>0.32</v>
      </c>
      <c r="F93" s="230">
        <v>0</v>
      </c>
      <c r="G93" s="231" t="s">
        <v>476</v>
      </c>
      <c r="H93" s="231"/>
      <c r="I93" s="231" t="s">
        <v>590</v>
      </c>
      <c r="J93" s="231" t="s">
        <v>122</v>
      </c>
    </row>
    <row r="94" spans="1:10" x14ac:dyDescent="0.35">
      <c r="A94" s="247">
        <v>12</v>
      </c>
      <c r="B94" s="206">
        <v>21000133</v>
      </c>
      <c r="C94" s="228" t="s">
        <v>308</v>
      </c>
      <c r="D94" s="206">
        <v>6</v>
      </c>
      <c r="E94" s="229">
        <v>0.32</v>
      </c>
      <c r="F94" s="230">
        <v>0</v>
      </c>
      <c r="G94" s="231" t="s">
        <v>477</v>
      </c>
      <c r="H94" s="231"/>
      <c r="I94" s="231" t="s">
        <v>590</v>
      </c>
      <c r="J94" s="231" t="s">
        <v>122</v>
      </c>
    </row>
    <row r="95" spans="1:10" x14ac:dyDescent="0.35">
      <c r="A95" s="247">
        <v>13</v>
      </c>
      <c r="B95" s="206">
        <v>21000134</v>
      </c>
      <c r="C95" s="228" t="s">
        <v>309</v>
      </c>
      <c r="D95" s="206">
        <v>6</v>
      </c>
      <c r="E95" s="229">
        <v>0.32</v>
      </c>
      <c r="F95" s="230">
        <v>0</v>
      </c>
      <c r="G95" s="231" t="s">
        <v>478</v>
      </c>
      <c r="H95" s="231"/>
      <c r="I95" s="231" t="s">
        <v>590</v>
      </c>
      <c r="J95" s="231" t="s">
        <v>122</v>
      </c>
    </row>
    <row r="96" spans="1:10" x14ac:dyDescent="0.35">
      <c r="A96" s="247">
        <v>14</v>
      </c>
      <c r="B96" s="206">
        <v>21000135</v>
      </c>
      <c r="C96" s="228" t="s">
        <v>310</v>
      </c>
      <c r="D96" s="206">
        <v>6</v>
      </c>
      <c r="E96" s="229">
        <v>0.32</v>
      </c>
      <c r="F96" s="230">
        <v>0</v>
      </c>
      <c r="G96" s="231" t="s">
        <v>479</v>
      </c>
      <c r="H96" s="231"/>
      <c r="I96" s="231" t="s">
        <v>590</v>
      </c>
      <c r="J96" s="231" t="s">
        <v>122</v>
      </c>
    </row>
    <row r="97" spans="1:10" x14ac:dyDescent="0.35">
      <c r="A97" s="247">
        <v>15</v>
      </c>
      <c r="B97" s="206">
        <v>21000136</v>
      </c>
      <c r="C97" s="228" t="s">
        <v>311</v>
      </c>
      <c r="D97" s="206">
        <v>6</v>
      </c>
      <c r="E97" s="229">
        <v>0.32</v>
      </c>
      <c r="F97" s="230">
        <v>0</v>
      </c>
      <c r="G97" s="231" t="s">
        <v>480</v>
      </c>
      <c r="H97" s="231"/>
      <c r="I97" s="231" t="s">
        <v>590</v>
      </c>
      <c r="J97" s="231" t="s">
        <v>122</v>
      </c>
    </row>
    <row r="98" spans="1:10" x14ac:dyDescent="0.35">
      <c r="A98" s="247">
        <v>16</v>
      </c>
      <c r="B98" s="206">
        <v>21000137</v>
      </c>
      <c r="C98" s="228" t="s">
        <v>207</v>
      </c>
      <c r="D98" s="206">
        <v>6</v>
      </c>
      <c r="E98" s="229">
        <v>0.32</v>
      </c>
      <c r="F98" s="230">
        <v>0</v>
      </c>
      <c r="G98" s="231" t="s">
        <v>481</v>
      </c>
      <c r="H98" s="231"/>
      <c r="I98" s="231" t="s">
        <v>590</v>
      </c>
      <c r="J98" s="231" t="s">
        <v>122</v>
      </c>
    </row>
    <row r="99" spans="1:10" x14ac:dyDescent="0.35">
      <c r="A99" s="247">
        <v>17</v>
      </c>
      <c r="B99" s="206">
        <v>21310103</v>
      </c>
      <c r="C99" s="228" t="s">
        <v>312</v>
      </c>
      <c r="D99" s="206">
        <v>6</v>
      </c>
      <c r="E99" s="229">
        <v>0.32</v>
      </c>
      <c r="F99" s="230">
        <v>0</v>
      </c>
      <c r="G99" s="231" t="s">
        <v>482</v>
      </c>
      <c r="H99" s="231"/>
      <c r="I99" s="231" t="s">
        <v>590</v>
      </c>
      <c r="J99" s="231" t="s">
        <v>122</v>
      </c>
    </row>
    <row r="100" spans="1:10" x14ac:dyDescent="0.35">
      <c r="A100" s="247">
        <v>18</v>
      </c>
      <c r="B100" s="206">
        <v>21100110</v>
      </c>
      <c r="C100" s="228" t="s">
        <v>313</v>
      </c>
      <c r="D100" s="206">
        <v>6</v>
      </c>
      <c r="E100" s="229">
        <v>0.3</v>
      </c>
      <c r="F100" s="230">
        <v>0</v>
      </c>
      <c r="G100" s="231" t="s">
        <v>483</v>
      </c>
      <c r="H100" s="231"/>
      <c r="I100" s="231" t="s">
        <v>590</v>
      </c>
      <c r="J100" s="231" t="s">
        <v>122</v>
      </c>
    </row>
    <row r="101" spans="1:10" x14ac:dyDescent="0.35">
      <c r="A101" s="247">
        <v>19</v>
      </c>
      <c r="B101" s="206">
        <v>21100109</v>
      </c>
      <c r="C101" s="228" t="s">
        <v>314</v>
      </c>
      <c r="D101" s="206">
        <v>6</v>
      </c>
      <c r="E101" s="229">
        <v>0.3</v>
      </c>
      <c r="F101" s="230">
        <v>0</v>
      </c>
      <c r="G101" s="231" t="s">
        <v>484</v>
      </c>
      <c r="H101" s="231"/>
      <c r="I101" s="231" t="s">
        <v>590</v>
      </c>
      <c r="J101" s="231" t="s">
        <v>122</v>
      </c>
    </row>
    <row r="102" spans="1:10" x14ac:dyDescent="0.35">
      <c r="A102" s="247">
        <v>20</v>
      </c>
      <c r="B102" s="206">
        <v>21200108</v>
      </c>
      <c r="C102" s="228" t="s">
        <v>315</v>
      </c>
      <c r="D102" s="206">
        <v>6</v>
      </c>
      <c r="E102" s="229">
        <v>0.32</v>
      </c>
      <c r="F102" s="230">
        <v>0</v>
      </c>
      <c r="G102" s="231" t="s">
        <v>485</v>
      </c>
      <c r="H102" s="231"/>
      <c r="I102" s="231" t="s">
        <v>590</v>
      </c>
      <c r="J102" s="231" t="s">
        <v>122</v>
      </c>
    </row>
    <row r="103" spans="1:10" x14ac:dyDescent="0.35">
      <c r="A103" s="247">
        <v>21</v>
      </c>
      <c r="B103" s="206">
        <v>21200109</v>
      </c>
      <c r="C103" s="228" t="s">
        <v>316</v>
      </c>
      <c r="D103" s="206">
        <v>6</v>
      </c>
      <c r="E103" s="229">
        <v>0.32</v>
      </c>
      <c r="F103" s="230">
        <v>0</v>
      </c>
      <c r="G103" s="231" t="s">
        <v>486</v>
      </c>
      <c r="H103" s="231"/>
      <c r="I103" s="231" t="s">
        <v>590</v>
      </c>
      <c r="J103" s="231" t="s">
        <v>122</v>
      </c>
    </row>
    <row r="104" spans="1:10" x14ac:dyDescent="0.35">
      <c r="A104" s="247">
        <v>22</v>
      </c>
      <c r="B104" s="206">
        <v>21200107</v>
      </c>
      <c r="C104" s="228" t="s">
        <v>317</v>
      </c>
      <c r="D104" s="206">
        <v>6</v>
      </c>
      <c r="E104" s="229">
        <v>0.3</v>
      </c>
      <c r="F104" s="230">
        <v>0</v>
      </c>
      <c r="G104" s="231" t="s">
        <v>487</v>
      </c>
      <c r="H104" s="231"/>
      <c r="I104" s="231" t="s">
        <v>590</v>
      </c>
      <c r="J104" s="231" t="s">
        <v>122</v>
      </c>
    </row>
    <row r="105" spans="1:10" x14ac:dyDescent="0.35">
      <c r="A105" s="247">
        <v>23</v>
      </c>
      <c r="B105" s="206">
        <v>21010102</v>
      </c>
      <c r="C105" s="228" t="s">
        <v>318</v>
      </c>
      <c r="D105" s="206">
        <v>6</v>
      </c>
      <c r="E105" s="229">
        <v>0.32</v>
      </c>
      <c r="F105" s="230">
        <v>0</v>
      </c>
      <c r="G105" s="231" t="s">
        <v>488</v>
      </c>
      <c r="H105" s="231"/>
      <c r="I105" s="231" t="s">
        <v>590</v>
      </c>
      <c r="J105" s="231" t="s">
        <v>122</v>
      </c>
    </row>
    <row r="106" spans="1:10" x14ac:dyDescent="0.35">
      <c r="A106" s="247">
        <v>24</v>
      </c>
      <c r="B106" s="206">
        <v>21010103</v>
      </c>
      <c r="C106" s="228" t="s">
        <v>319</v>
      </c>
      <c r="D106" s="206">
        <v>6</v>
      </c>
      <c r="E106" s="229">
        <v>0.32</v>
      </c>
      <c r="F106" s="230">
        <v>0</v>
      </c>
      <c r="G106" s="231" t="s">
        <v>489</v>
      </c>
      <c r="H106" s="231"/>
      <c r="I106" s="231" t="s">
        <v>590</v>
      </c>
      <c r="J106" s="231" t="s">
        <v>122</v>
      </c>
    </row>
    <row r="107" spans="1:10" x14ac:dyDescent="0.35">
      <c r="A107" s="247">
        <v>25</v>
      </c>
      <c r="B107" s="206">
        <v>21010104</v>
      </c>
      <c r="C107" s="228" t="s">
        <v>320</v>
      </c>
      <c r="D107" s="206">
        <v>6</v>
      </c>
      <c r="E107" s="229">
        <v>0.32</v>
      </c>
      <c r="F107" s="230">
        <v>0</v>
      </c>
      <c r="G107" s="231" t="s">
        <v>490</v>
      </c>
      <c r="H107" s="231"/>
      <c r="I107" s="231" t="s">
        <v>590</v>
      </c>
      <c r="J107" s="231" t="s">
        <v>122</v>
      </c>
    </row>
    <row r="108" spans="1:10" x14ac:dyDescent="0.35">
      <c r="A108" s="247">
        <v>26</v>
      </c>
      <c r="B108" s="206">
        <v>21010105</v>
      </c>
      <c r="C108" s="228" t="s">
        <v>321</v>
      </c>
      <c r="D108" s="206">
        <v>6</v>
      </c>
      <c r="E108" s="229">
        <v>0.32</v>
      </c>
      <c r="F108" s="230">
        <v>0</v>
      </c>
      <c r="G108" s="231" t="s">
        <v>491</v>
      </c>
      <c r="H108" s="231"/>
      <c r="I108" s="231" t="s">
        <v>590</v>
      </c>
      <c r="J108" s="231" t="s">
        <v>122</v>
      </c>
    </row>
    <row r="109" spans="1:10" x14ac:dyDescent="0.35">
      <c r="A109" s="247">
        <v>27</v>
      </c>
      <c r="B109" s="206">
        <v>21500101</v>
      </c>
      <c r="C109" s="228" t="s">
        <v>322</v>
      </c>
      <c r="D109" s="206">
        <v>5</v>
      </c>
      <c r="E109" s="229">
        <v>0.23</v>
      </c>
      <c r="F109" s="230">
        <v>0</v>
      </c>
      <c r="G109" s="231" t="s">
        <v>492</v>
      </c>
      <c r="H109" s="231"/>
      <c r="I109" s="231" t="s">
        <v>590</v>
      </c>
      <c r="J109" s="231" t="s">
        <v>122</v>
      </c>
    </row>
    <row r="110" spans="1:10" x14ac:dyDescent="0.35">
      <c r="A110" s="247">
        <v>28</v>
      </c>
      <c r="B110" s="206">
        <v>21500102</v>
      </c>
      <c r="C110" s="228" t="s">
        <v>323</v>
      </c>
      <c r="D110" s="206">
        <v>5</v>
      </c>
      <c r="E110" s="229">
        <v>0.23</v>
      </c>
      <c r="F110" s="230">
        <v>0</v>
      </c>
      <c r="G110" s="231" t="s">
        <v>493</v>
      </c>
      <c r="H110" s="231"/>
      <c r="I110" s="231" t="s">
        <v>590</v>
      </c>
      <c r="J110" s="231" t="s">
        <v>122</v>
      </c>
    </row>
    <row r="111" spans="1:10" ht="17.5" x14ac:dyDescent="0.35">
      <c r="A111" s="248"/>
      <c r="B111" s="243"/>
      <c r="C111" s="244" t="s">
        <v>93</v>
      </c>
      <c r="D111" s="234"/>
      <c r="E111" s="245"/>
      <c r="F111" s="246"/>
      <c r="G111" s="231"/>
      <c r="H111" s="231"/>
      <c r="I111" s="231"/>
      <c r="J111" s="231"/>
    </row>
    <row r="112" spans="1:10" x14ac:dyDescent="0.35">
      <c r="A112" s="227">
        <v>1</v>
      </c>
      <c r="B112" s="206">
        <v>17200109</v>
      </c>
      <c r="C112" s="228" t="s">
        <v>324</v>
      </c>
      <c r="D112" s="206">
        <v>8</v>
      </c>
      <c r="E112" s="229">
        <v>0.3</v>
      </c>
      <c r="F112" s="230">
        <v>0</v>
      </c>
      <c r="G112" s="231" t="s">
        <v>494</v>
      </c>
      <c r="H112" s="231"/>
      <c r="I112" s="231" t="s">
        <v>145</v>
      </c>
      <c r="J112" s="231" t="s">
        <v>93</v>
      </c>
    </row>
    <row r="113" spans="1:10" x14ac:dyDescent="0.35">
      <c r="A113" s="227">
        <v>2</v>
      </c>
      <c r="B113" s="206">
        <v>17200110</v>
      </c>
      <c r="C113" s="228" t="s">
        <v>325</v>
      </c>
      <c r="D113" s="206">
        <v>8</v>
      </c>
      <c r="E113" s="229">
        <v>0.3</v>
      </c>
      <c r="F113" s="230">
        <v>0</v>
      </c>
      <c r="G113" s="231" t="s">
        <v>495</v>
      </c>
      <c r="H113" s="231"/>
      <c r="I113" s="231" t="s">
        <v>145</v>
      </c>
      <c r="J113" s="231" t="s">
        <v>93</v>
      </c>
    </row>
    <row r="114" spans="1:10" x14ac:dyDescent="0.35">
      <c r="A114" s="227">
        <v>3</v>
      </c>
      <c r="B114" s="206">
        <v>17210107</v>
      </c>
      <c r="C114" s="228" t="s">
        <v>326</v>
      </c>
      <c r="D114" s="206">
        <v>8</v>
      </c>
      <c r="E114" s="229">
        <v>0.3</v>
      </c>
      <c r="F114" s="230">
        <v>0</v>
      </c>
      <c r="G114" s="231" t="s">
        <v>496</v>
      </c>
      <c r="H114" s="231"/>
      <c r="I114" s="231" t="s">
        <v>145</v>
      </c>
      <c r="J114" s="231" t="s">
        <v>93</v>
      </c>
    </row>
    <row r="115" spans="1:10" x14ac:dyDescent="0.35">
      <c r="A115" s="227">
        <v>4</v>
      </c>
      <c r="B115" s="206">
        <v>17210106</v>
      </c>
      <c r="C115" s="228" t="s">
        <v>327</v>
      </c>
      <c r="D115" s="206">
        <v>8</v>
      </c>
      <c r="E115" s="229">
        <v>0.3</v>
      </c>
      <c r="F115" s="230">
        <v>0</v>
      </c>
      <c r="G115" s="231" t="s">
        <v>497</v>
      </c>
      <c r="H115" s="231"/>
      <c r="I115" s="231" t="s">
        <v>145</v>
      </c>
      <c r="J115" s="231" t="s">
        <v>93</v>
      </c>
    </row>
    <row r="116" spans="1:10" x14ac:dyDescent="0.35">
      <c r="A116" s="227">
        <v>5</v>
      </c>
      <c r="B116" s="206">
        <v>17200111</v>
      </c>
      <c r="C116" s="228" t="s">
        <v>328</v>
      </c>
      <c r="D116" s="206">
        <v>8</v>
      </c>
      <c r="E116" s="229">
        <v>0.3</v>
      </c>
      <c r="F116" s="230">
        <v>0</v>
      </c>
      <c r="G116" s="231" t="s">
        <v>498</v>
      </c>
      <c r="H116" s="231"/>
      <c r="I116" s="231" t="s">
        <v>145</v>
      </c>
      <c r="J116" s="231" t="s">
        <v>93</v>
      </c>
    </row>
    <row r="117" spans="1:10" x14ac:dyDescent="0.35">
      <c r="A117" s="227">
        <v>6</v>
      </c>
      <c r="B117" s="206">
        <v>17200112</v>
      </c>
      <c r="C117" s="228" t="s">
        <v>329</v>
      </c>
      <c r="D117" s="206">
        <v>8</v>
      </c>
      <c r="E117" s="229">
        <v>0.3</v>
      </c>
      <c r="F117" s="230">
        <v>0</v>
      </c>
      <c r="G117" s="231" t="s">
        <v>499</v>
      </c>
      <c r="H117" s="231"/>
      <c r="I117" s="231" t="s">
        <v>145</v>
      </c>
      <c r="J117" s="231" t="s">
        <v>93</v>
      </c>
    </row>
    <row r="118" spans="1:10" x14ac:dyDescent="0.35">
      <c r="A118" s="227">
        <v>7</v>
      </c>
      <c r="B118" s="206">
        <v>17210108</v>
      </c>
      <c r="C118" s="228" t="s">
        <v>330</v>
      </c>
      <c r="D118" s="206">
        <v>8</v>
      </c>
      <c r="E118" s="229">
        <v>0.3</v>
      </c>
      <c r="F118" s="230">
        <v>0</v>
      </c>
      <c r="G118" s="231" t="s">
        <v>500</v>
      </c>
      <c r="H118" s="231"/>
      <c r="I118" s="231" t="s">
        <v>145</v>
      </c>
      <c r="J118" s="231" t="s">
        <v>93</v>
      </c>
    </row>
    <row r="119" spans="1:10" x14ac:dyDescent="0.35">
      <c r="A119" s="227">
        <v>8</v>
      </c>
      <c r="B119" s="206">
        <v>17210109</v>
      </c>
      <c r="C119" s="228" t="s">
        <v>331</v>
      </c>
      <c r="D119" s="206">
        <v>8</v>
      </c>
      <c r="E119" s="229">
        <v>0.3</v>
      </c>
      <c r="F119" s="230">
        <v>0</v>
      </c>
      <c r="G119" s="231" t="s">
        <v>501</v>
      </c>
      <c r="H119" s="231"/>
      <c r="I119" s="231" t="s">
        <v>145</v>
      </c>
      <c r="J119" s="231" t="s">
        <v>93</v>
      </c>
    </row>
    <row r="120" spans="1:10" ht="17.5" x14ac:dyDescent="0.35">
      <c r="A120" s="249"/>
      <c r="B120" s="243"/>
      <c r="C120" s="244" t="s">
        <v>84</v>
      </c>
      <c r="D120" s="234"/>
      <c r="E120" s="245"/>
      <c r="F120" s="246"/>
      <c r="G120" s="231"/>
      <c r="H120" s="231"/>
      <c r="I120" s="231"/>
      <c r="J120" s="231"/>
    </row>
    <row r="121" spans="1:10" x14ac:dyDescent="0.35">
      <c r="A121" s="227">
        <v>1</v>
      </c>
      <c r="B121" s="206">
        <v>13010118</v>
      </c>
      <c r="C121" s="228" t="s">
        <v>332</v>
      </c>
      <c r="D121" s="206">
        <v>72</v>
      </c>
      <c r="E121" s="229">
        <v>0.78</v>
      </c>
      <c r="F121" s="230">
        <v>6.5000000000000002E-2</v>
      </c>
      <c r="G121" s="231" t="s">
        <v>502</v>
      </c>
      <c r="H121" s="231"/>
      <c r="I121" s="231" t="s">
        <v>590</v>
      </c>
      <c r="J121" s="231" t="s">
        <v>84</v>
      </c>
    </row>
    <row r="122" spans="1:10" x14ac:dyDescent="0.35">
      <c r="A122" s="227">
        <v>2</v>
      </c>
      <c r="B122" s="206">
        <v>16060119</v>
      </c>
      <c r="C122" s="228" t="s">
        <v>208</v>
      </c>
      <c r="D122" s="206">
        <v>72</v>
      </c>
      <c r="E122" s="229">
        <v>0.64800000000000002</v>
      </c>
      <c r="F122" s="230">
        <v>5.3999999999999999E-2</v>
      </c>
      <c r="G122" s="231" t="s">
        <v>503</v>
      </c>
      <c r="H122" s="231"/>
      <c r="I122" s="231" t="s">
        <v>590</v>
      </c>
      <c r="J122" s="231" t="s">
        <v>84</v>
      </c>
    </row>
    <row r="123" spans="1:10" x14ac:dyDescent="0.35">
      <c r="A123" s="227">
        <v>3</v>
      </c>
      <c r="B123" s="206">
        <v>18050102</v>
      </c>
      <c r="C123" s="228" t="s">
        <v>333</v>
      </c>
      <c r="D123" s="206">
        <v>72</v>
      </c>
      <c r="E123" s="229">
        <v>0.72</v>
      </c>
      <c r="F123" s="230">
        <v>0.06</v>
      </c>
      <c r="G123" s="231" t="s">
        <v>504</v>
      </c>
      <c r="H123" s="231"/>
      <c r="I123" s="231" t="s">
        <v>590</v>
      </c>
      <c r="J123" s="231" t="s">
        <v>84</v>
      </c>
    </row>
    <row r="124" spans="1:10" x14ac:dyDescent="0.35">
      <c r="A124" s="227">
        <v>4</v>
      </c>
      <c r="B124" s="206">
        <v>18050103</v>
      </c>
      <c r="C124" s="228" t="s">
        <v>334</v>
      </c>
      <c r="D124" s="206">
        <v>72</v>
      </c>
      <c r="E124" s="229">
        <v>0.72</v>
      </c>
      <c r="F124" s="230">
        <v>0.06</v>
      </c>
      <c r="G124" s="231" t="s">
        <v>505</v>
      </c>
      <c r="H124" s="231"/>
      <c r="I124" s="231" t="s">
        <v>590</v>
      </c>
      <c r="J124" s="231" t="s">
        <v>84</v>
      </c>
    </row>
    <row r="125" spans="1:10" x14ac:dyDescent="0.35">
      <c r="A125" s="227">
        <v>9</v>
      </c>
      <c r="B125" s="206">
        <v>13010119</v>
      </c>
      <c r="C125" s="228" t="s">
        <v>209</v>
      </c>
      <c r="D125" s="206">
        <v>72</v>
      </c>
      <c r="E125" s="229">
        <v>0.72</v>
      </c>
      <c r="F125" s="230">
        <v>0.06</v>
      </c>
      <c r="G125" s="231" t="s">
        <v>506</v>
      </c>
      <c r="H125" s="231"/>
      <c r="I125" s="231" t="s">
        <v>590</v>
      </c>
      <c r="J125" s="231" t="s">
        <v>84</v>
      </c>
    </row>
    <row r="126" spans="1:10" x14ac:dyDescent="0.35">
      <c r="A126" s="227">
        <v>10</v>
      </c>
      <c r="B126" s="206">
        <v>13010120</v>
      </c>
      <c r="C126" s="228" t="s">
        <v>210</v>
      </c>
      <c r="D126" s="206">
        <v>72</v>
      </c>
      <c r="E126" s="229">
        <v>0.78</v>
      </c>
      <c r="F126" s="230">
        <v>6.5000000000000002E-2</v>
      </c>
      <c r="G126" s="231" t="s">
        <v>507</v>
      </c>
      <c r="H126" s="231"/>
      <c r="I126" s="231" t="s">
        <v>590</v>
      </c>
      <c r="J126" s="231" t="s">
        <v>84</v>
      </c>
    </row>
    <row r="127" spans="1:10" x14ac:dyDescent="0.35">
      <c r="A127" s="227">
        <v>11</v>
      </c>
      <c r="B127" s="206">
        <v>13010121</v>
      </c>
      <c r="C127" s="228" t="s">
        <v>211</v>
      </c>
      <c r="D127" s="206">
        <v>72</v>
      </c>
      <c r="E127" s="229">
        <v>0.78</v>
      </c>
      <c r="F127" s="230">
        <v>6.5000000000000002E-2</v>
      </c>
      <c r="G127" s="231" t="s">
        <v>508</v>
      </c>
      <c r="H127" s="231"/>
      <c r="I127" s="231" t="s">
        <v>590</v>
      </c>
      <c r="J127" s="231" t="s">
        <v>84</v>
      </c>
    </row>
    <row r="128" spans="1:10" x14ac:dyDescent="0.35">
      <c r="A128" s="227">
        <v>15</v>
      </c>
      <c r="B128" s="206">
        <v>13010122</v>
      </c>
      <c r="C128" s="228" t="s">
        <v>335</v>
      </c>
      <c r="D128" s="206">
        <v>72</v>
      </c>
      <c r="E128" s="229">
        <v>0.72</v>
      </c>
      <c r="F128" s="230">
        <v>0.06</v>
      </c>
      <c r="G128" s="231" t="s">
        <v>509</v>
      </c>
      <c r="H128" s="231"/>
      <c r="I128" s="231" t="s">
        <v>590</v>
      </c>
      <c r="J128" s="231" t="s">
        <v>84</v>
      </c>
    </row>
    <row r="129" spans="1:10" x14ac:dyDescent="0.35">
      <c r="A129" s="227">
        <v>16</v>
      </c>
      <c r="B129" s="206">
        <v>13010123</v>
      </c>
      <c r="C129" s="228" t="s">
        <v>336</v>
      </c>
      <c r="D129" s="206">
        <v>72</v>
      </c>
      <c r="E129" s="229">
        <v>0.72</v>
      </c>
      <c r="F129" s="230">
        <v>0.06</v>
      </c>
      <c r="G129" s="231" t="s">
        <v>510</v>
      </c>
      <c r="H129" s="231"/>
      <c r="I129" s="231" t="s">
        <v>590</v>
      </c>
      <c r="J129" s="231" t="s">
        <v>84</v>
      </c>
    </row>
    <row r="130" spans="1:10" x14ac:dyDescent="0.35">
      <c r="A130" s="227">
        <v>17</v>
      </c>
      <c r="B130" s="206">
        <v>13010124</v>
      </c>
      <c r="C130" s="228" t="s">
        <v>337</v>
      </c>
      <c r="D130" s="206">
        <v>72</v>
      </c>
      <c r="E130" s="229">
        <v>0.72</v>
      </c>
      <c r="F130" s="230">
        <v>0.06</v>
      </c>
      <c r="G130" s="231" t="s">
        <v>511</v>
      </c>
      <c r="H130" s="231"/>
      <c r="I130" s="231" t="s">
        <v>590</v>
      </c>
      <c r="J130" s="231" t="s">
        <v>84</v>
      </c>
    </row>
    <row r="131" spans="1:10" x14ac:dyDescent="0.35">
      <c r="A131" s="227">
        <v>18</v>
      </c>
      <c r="B131" s="206">
        <v>13010125</v>
      </c>
      <c r="C131" s="228" t="s">
        <v>338</v>
      </c>
      <c r="D131" s="206">
        <v>72</v>
      </c>
      <c r="E131" s="229">
        <v>0.72</v>
      </c>
      <c r="F131" s="230">
        <v>0.06</v>
      </c>
      <c r="G131" s="231" t="s">
        <v>512</v>
      </c>
      <c r="H131" s="231"/>
      <c r="I131" s="231" t="s">
        <v>590</v>
      </c>
      <c r="J131" s="231" t="s">
        <v>84</v>
      </c>
    </row>
    <row r="132" spans="1:10" x14ac:dyDescent="0.35">
      <c r="A132" s="227">
        <v>19</v>
      </c>
      <c r="B132" s="206">
        <v>18050104</v>
      </c>
      <c r="C132" s="228" t="s">
        <v>339</v>
      </c>
      <c r="D132" s="206">
        <v>72</v>
      </c>
      <c r="E132" s="229">
        <v>0.66</v>
      </c>
      <c r="F132" s="230">
        <v>5.5E-2</v>
      </c>
      <c r="G132" s="231" t="s">
        <v>513</v>
      </c>
      <c r="H132" s="231"/>
      <c r="I132" s="231" t="s">
        <v>590</v>
      </c>
      <c r="J132" s="231" t="s">
        <v>84</v>
      </c>
    </row>
    <row r="133" spans="1:10" x14ac:dyDescent="0.35">
      <c r="A133" s="227">
        <v>20</v>
      </c>
      <c r="B133" s="206">
        <v>18050105</v>
      </c>
      <c r="C133" s="228" t="s">
        <v>340</v>
      </c>
      <c r="D133" s="206">
        <v>72</v>
      </c>
      <c r="E133" s="229">
        <v>0.66</v>
      </c>
      <c r="F133" s="230">
        <v>5.5E-2</v>
      </c>
      <c r="G133" s="231" t="s">
        <v>514</v>
      </c>
      <c r="H133" s="231"/>
      <c r="I133" s="231" t="s">
        <v>590</v>
      </c>
      <c r="J133" s="231" t="s">
        <v>84</v>
      </c>
    </row>
    <row r="134" spans="1:10" ht="17.5" x14ac:dyDescent="0.35">
      <c r="A134" s="249"/>
      <c r="B134" s="243"/>
      <c r="C134" s="244" t="s">
        <v>63</v>
      </c>
      <c r="D134" s="234"/>
      <c r="E134" s="245"/>
      <c r="F134" s="246"/>
      <c r="G134" s="231"/>
      <c r="H134" s="231"/>
      <c r="I134" s="231"/>
      <c r="J134" s="231"/>
    </row>
    <row r="135" spans="1:10" x14ac:dyDescent="0.35">
      <c r="A135" s="227">
        <v>1</v>
      </c>
      <c r="B135" s="206">
        <v>20040101</v>
      </c>
      <c r="C135" s="228" t="s">
        <v>341</v>
      </c>
      <c r="D135" s="206">
        <v>12</v>
      </c>
      <c r="E135" s="229">
        <v>0.56999999999999995</v>
      </c>
      <c r="F135" s="230">
        <v>0</v>
      </c>
      <c r="G135" s="231" t="s">
        <v>515</v>
      </c>
      <c r="H135" s="231"/>
      <c r="I135" s="231" t="s">
        <v>145</v>
      </c>
      <c r="J135" s="231" t="s">
        <v>63</v>
      </c>
    </row>
    <row r="136" spans="1:10" s="37" customFormat="1" ht="24" customHeight="1" x14ac:dyDescent="0.4">
      <c r="A136" s="227"/>
      <c r="B136" s="234"/>
      <c r="C136" s="218" t="s">
        <v>61</v>
      </c>
      <c r="D136" s="234"/>
      <c r="E136" s="220"/>
      <c r="F136" s="221"/>
      <c r="G136" s="231"/>
      <c r="H136" s="231"/>
      <c r="I136" s="231"/>
      <c r="J136" s="231"/>
    </row>
    <row r="137" spans="1:10" s="64" customFormat="1" ht="24" customHeight="1" x14ac:dyDescent="0.35">
      <c r="A137" s="250"/>
      <c r="B137" s="237"/>
      <c r="C137" s="239" t="s">
        <v>4</v>
      </c>
      <c r="D137" s="234"/>
      <c r="E137" s="240"/>
      <c r="F137" s="241"/>
      <c r="G137" s="251"/>
      <c r="H137" s="251"/>
      <c r="I137" s="251"/>
      <c r="J137" s="251"/>
    </row>
    <row r="138" spans="1:10" ht="18.75" customHeight="1" x14ac:dyDescent="0.35">
      <c r="A138" s="227">
        <v>1</v>
      </c>
      <c r="B138" s="206">
        <v>12010510</v>
      </c>
      <c r="C138" s="228" t="s">
        <v>342</v>
      </c>
      <c r="D138" s="206">
        <v>22</v>
      </c>
      <c r="E138" s="229">
        <v>0.22500000000000001</v>
      </c>
      <c r="F138" s="230">
        <v>0</v>
      </c>
      <c r="G138" s="231" t="s">
        <v>516</v>
      </c>
      <c r="H138" s="231"/>
      <c r="I138" s="231" t="s">
        <v>61</v>
      </c>
      <c r="J138" s="231" t="s">
        <v>4</v>
      </c>
    </row>
    <row r="139" spans="1:10" ht="18.75" customHeight="1" x14ac:dyDescent="0.35">
      <c r="A139" s="227">
        <v>2</v>
      </c>
      <c r="B139" s="206">
        <v>12010511</v>
      </c>
      <c r="C139" s="228" t="s">
        <v>343</v>
      </c>
      <c r="D139" s="206">
        <v>12</v>
      </c>
      <c r="E139" s="229">
        <v>0.45</v>
      </c>
      <c r="F139" s="230">
        <v>0</v>
      </c>
      <c r="G139" s="231" t="s">
        <v>517</v>
      </c>
      <c r="H139" s="231"/>
      <c r="I139" s="231" t="s">
        <v>61</v>
      </c>
      <c r="J139" s="231" t="s">
        <v>4</v>
      </c>
    </row>
    <row r="140" spans="1:10" ht="18.75" customHeight="1" x14ac:dyDescent="0.35">
      <c r="A140" s="227">
        <v>3</v>
      </c>
      <c r="B140" s="206">
        <v>12010512</v>
      </c>
      <c r="C140" s="228" t="s">
        <v>344</v>
      </c>
      <c r="D140" s="206">
        <v>6</v>
      </c>
      <c r="E140" s="229">
        <v>0.9</v>
      </c>
      <c r="F140" s="230">
        <v>0</v>
      </c>
      <c r="G140" s="252" t="s">
        <v>518</v>
      </c>
      <c r="H140" s="231"/>
      <c r="I140" s="231" t="s">
        <v>61</v>
      </c>
      <c r="J140" s="231" t="s">
        <v>4</v>
      </c>
    </row>
    <row r="141" spans="1:10" ht="18.75" customHeight="1" x14ac:dyDescent="0.35">
      <c r="A141" s="227">
        <v>4</v>
      </c>
      <c r="B141" s="206">
        <v>12010517</v>
      </c>
      <c r="C141" s="228" t="s">
        <v>345</v>
      </c>
      <c r="D141" s="206">
        <v>22</v>
      </c>
      <c r="E141" s="229">
        <v>0.22500000000000001</v>
      </c>
      <c r="F141" s="230">
        <v>0</v>
      </c>
      <c r="G141" s="231" t="s">
        <v>519</v>
      </c>
      <c r="H141" s="231"/>
      <c r="I141" s="231" t="s">
        <v>61</v>
      </c>
      <c r="J141" s="231" t="s">
        <v>4</v>
      </c>
    </row>
    <row r="142" spans="1:10" ht="18.75" customHeight="1" x14ac:dyDescent="0.35">
      <c r="A142" s="227">
        <v>5</v>
      </c>
      <c r="B142" s="206">
        <v>12010518</v>
      </c>
      <c r="C142" s="228" t="s">
        <v>346</v>
      </c>
      <c r="D142" s="206">
        <v>12</v>
      </c>
      <c r="E142" s="229">
        <v>0.45</v>
      </c>
      <c r="F142" s="230">
        <v>0</v>
      </c>
      <c r="G142" s="231" t="s">
        <v>520</v>
      </c>
      <c r="H142" s="231"/>
      <c r="I142" s="231" t="s">
        <v>61</v>
      </c>
      <c r="J142" s="231" t="s">
        <v>4</v>
      </c>
    </row>
    <row r="143" spans="1:10" ht="18.75" customHeight="1" x14ac:dyDescent="0.35">
      <c r="A143" s="227">
        <v>6</v>
      </c>
      <c r="B143" s="206">
        <v>12010519</v>
      </c>
      <c r="C143" s="228" t="s">
        <v>347</v>
      </c>
      <c r="D143" s="206">
        <v>6</v>
      </c>
      <c r="E143" s="229">
        <v>0.9</v>
      </c>
      <c r="F143" s="230">
        <v>0</v>
      </c>
      <c r="G143" s="231" t="s">
        <v>521</v>
      </c>
      <c r="H143" s="231"/>
      <c r="I143" s="231" t="s">
        <v>61</v>
      </c>
      <c r="J143" s="231" t="s">
        <v>4</v>
      </c>
    </row>
    <row r="144" spans="1:10" ht="18.75" customHeight="1" x14ac:dyDescent="0.35">
      <c r="A144" s="227">
        <v>7</v>
      </c>
      <c r="B144" s="253">
        <v>12010516</v>
      </c>
      <c r="C144" s="228" t="s">
        <v>348</v>
      </c>
      <c r="D144" s="206">
        <v>30</v>
      </c>
      <c r="E144" s="229">
        <v>0.2</v>
      </c>
      <c r="F144" s="230">
        <v>0</v>
      </c>
      <c r="G144" s="231" t="s">
        <v>522</v>
      </c>
      <c r="H144" s="231"/>
      <c r="I144" s="231" t="s">
        <v>61</v>
      </c>
      <c r="J144" s="231" t="s">
        <v>4</v>
      </c>
    </row>
    <row r="145" spans="1:10" ht="18.75" customHeight="1" x14ac:dyDescent="0.35">
      <c r="A145" s="227">
        <v>8</v>
      </c>
      <c r="B145" s="253">
        <v>12010515</v>
      </c>
      <c r="C145" s="228" t="s">
        <v>349</v>
      </c>
      <c r="D145" s="206">
        <v>12</v>
      </c>
      <c r="E145" s="229">
        <v>0.45</v>
      </c>
      <c r="F145" s="230">
        <v>0</v>
      </c>
      <c r="G145" s="231" t="s">
        <v>523</v>
      </c>
      <c r="H145" s="231"/>
      <c r="I145" s="231" t="s">
        <v>61</v>
      </c>
      <c r="J145" s="231" t="s">
        <v>4</v>
      </c>
    </row>
    <row r="146" spans="1:10" ht="18.75" customHeight="1" x14ac:dyDescent="0.35">
      <c r="A146" s="227">
        <v>9</v>
      </c>
      <c r="B146" s="206">
        <v>12010513</v>
      </c>
      <c r="C146" s="228" t="s">
        <v>350</v>
      </c>
      <c r="D146" s="206">
        <v>22</v>
      </c>
      <c r="E146" s="229">
        <v>0.22500000000000001</v>
      </c>
      <c r="F146" s="230">
        <v>0</v>
      </c>
      <c r="G146" s="231" t="s">
        <v>524</v>
      </c>
      <c r="H146" s="231"/>
      <c r="I146" s="231" t="s">
        <v>61</v>
      </c>
      <c r="J146" s="231" t="s">
        <v>4</v>
      </c>
    </row>
    <row r="147" spans="1:10" ht="18.75" customHeight="1" x14ac:dyDescent="0.35">
      <c r="A147" s="227">
        <v>10</v>
      </c>
      <c r="B147" s="206">
        <v>12010514</v>
      </c>
      <c r="C147" s="228" t="s">
        <v>351</v>
      </c>
      <c r="D147" s="206">
        <v>12</v>
      </c>
      <c r="E147" s="229">
        <v>0.45</v>
      </c>
      <c r="F147" s="230">
        <v>0</v>
      </c>
      <c r="G147" s="231" t="s">
        <v>525</v>
      </c>
      <c r="H147" s="231"/>
      <c r="I147" s="231" t="s">
        <v>61</v>
      </c>
      <c r="J147" s="231" t="s">
        <v>4</v>
      </c>
    </row>
    <row r="148" spans="1:10" ht="18.75" customHeight="1" x14ac:dyDescent="0.35">
      <c r="A148" s="227">
        <v>11</v>
      </c>
      <c r="B148" s="232">
        <v>12130504</v>
      </c>
      <c r="C148" s="228" t="s">
        <v>352</v>
      </c>
      <c r="D148" s="206">
        <v>20</v>
      </c>
      <c r="E148" s="229">
        <v>0.315</v>
      </c>
      <c r="F148" s="230">
        <v>0</v>
      </c>
      <c r="G148" s="231" t="s">
        <v>526</v>
      </c>
      <c r="H148" s="231"/>
      <c r="I148" s="231" t="s">
        <v>61</v>
      </c>
      <c r="J148" s="231" t="s">
        <v>4</v>
      </c>
    </row>
    <row r="149" spans="1:10" ht="18.75" customHeight="1" x14ac:dyDescent="0.35">
      <c r="A149" s="227">
        <v>12</v>
      </c>
      <c r="B149" s="206">
        <v>12010520</v>
      </c>
      <c r="C149" s="228" t="s">
        <v>353</v>
      </c>
      <c r="D149" s="206">
        <v>12</v>
      </c>
      <c r="E149" s="229">
        <v>0.45</v>
      </c>
      <c r="F149" s="230">
        <v>0</v>
      </c>
      <c r="G149" s="231" t="s">
        <v>527</v>
      </c>
      <c r="H149" s="231"/>
      <c r="I149" s="231" t="s">
        <v>61</v>
      </c>
      <c r="J149" s="231" t="s">
        <v>4</v>
      </c>
    </row>
    <row r="150" spans="1:10" ht="18.75" customHeight="1" x14ac:dyDescent="0.35">
      <c r="A150" s="227">
        <v>13</v>
      </c>
      <c r="B150" s="206">
        <v>12010521</v>
      </c>
      <c r="C150" s="228" t="s">
        <v>354</v>
      </c>
      <c r="D150" s="206">
        <v>12</v>
      </c>
      <c r="E150" s="229">
        <v>0.45</v>
      </c>
      <c r="F150" s="230">
        <v>0</v>
      </c>
      <c r="G150" s="231" t="s">
        <v>528</v>
      </c>
      <c r="H150" s="231"/>
      <c r="I150" s="231" t="s">
        <v>61</v>
      </c>
      <c r="J150" s="231" t="s">
        <v>4</v>
      </c>
    </row>
    <row r="151" spans="1:10" ht="18.75" customHeight="1" x14ac:dyDescent="0.35">
      <c r="A151" s="227">
        <v>14</v>
      </c>
      <c r="B151" s="206">
        <v>12010606</v>
      </c>
      <c r="C151" s="228" t="s">
        <v>355</v>
      </c>
      <c r="D151" s="206">
        <v>25</v>
      </c>
      <c r="E151" s="229">
        <v>0.22500000000000001</v>
      </c>
      <c r="F151" s="230">
        <v>0</v>
      </c>
      <c r="G151" s="231" t="s">
        <v>529</v>
      </c>
      <c r="H151" s="231"/>
      <c r="I151" s="231" t="s">
        <v>61</v>
      </c>
      <c r="J151" s="231" t="s">
        <v>4</v>
      </c>
    </row>
    <row r="152" spans="1:10" ht="18.75" customHeight="1" x14ac:dyDescent="0.35">
      <c r="A152" s="227">
        <v>15</v>
      </c>
      <c r="B152" s="206">
        <v>12150501</v>
      </c>
      <c r="C152" s="228" t="s">
        <v>356</v>
      </c>
      <c r="D152" s="206">
        <v>10</v>
      </c>
      <c r="E152" s="229">
        <v>0.3</v>
      </c>
      <c r="F152" s="230">
        <v>0</v>
      </c>
      <c r="G152" s="231" t="s">
        <v>530</v>
      </c>
      <c r="H152" s="231"/>
      <c r="I152" s="231" t="s">
        <v>61</v>
      </c>
      <c r="J152" s="231" t="s">
        <v>4</v>
      </c>
    </row>
    <row r="153" spans="1:10" ht="18.75" customHeight="1" x14ac:dyDescent="0.35">
      <c r="A153" s="227">
        <v>16</v>
      </c>
      <c r="B153" s="206">
        <v>12010509</v>
      </c>
      <c r="C153" s="228" t="s">
        <v>357</v>
      </c>
      <c r="D153" s="206">
        <v>10</v>
      </c>
      <c r="E153" s="229">
        <v>0.45</v>
      </c>
      <c r="F153" s="230">
        <v>0</v>
      </c>
      <c r="G153" s="231" t="s">
        <v>531</v>
      </c>
      <c r="H153" s="231"/>
      <c r="I153" s="231" t="s">
        <v>61</v>
      </c>
      <c r="J153" s="231" t="s">
        <v>4</v>
      </c>
    </row>
    <row r="154" spans="1:10" s="64" customFormat="1" ht="24" customHeight="1" x14ac:dyDescent="0.35">
      <c r="A154" s="254"/>
      <c r="B154" s="237"/>
      <c r="C154" s="239" t="s">
        <v>9</v>
      </c>
      <c r="D154" s="234"/>
      <c r="E154" s="240"/>
      <c r="F154" s="241"/>
      <c r="G154" s="251"/>
      <c r="H154" s="251"/>
      <c r="I154" s="251"/>
      <c r="J154" s="251"/>
    </row>
    <row r="155" spans="1:10" ht="18.75" customHeight="1" x14ac:dyDescent="0.35">
      <c r="A155" s="255">
        <v>1</v>
      </c>
      <c r="B155" s="206">
        <v>13010514</v>
      </c>
      <c r="C155" s="228" t="s">
        <v>212</v>
      </c>
      <c r="D155" s="206">
        <v>10</v>
      </c>
      <c r="E155" s="229">
        <v>1</v>
      </c>
      <c r="F155" s="230">
        <v>0</v>
      </c>
      <c r="G155" s="231" t="s">
        <v>532</v>
      </c>
      <c r="H155" s="231"/>
      <c r="I155" s="231" t="s">
        <v>61</v>
      </c>
      <c r="J155" s="231" t="s">
        <v>9</v>
      </c>
    </row>
    <row r="156" spans="1:10" ht="18.75" customHeight="1" x14ac:dyDescent="0.35">
      <c r="A156" s="255">
        <v>2</v>
      </c>
      <c r="B156" s="206">
        <v>13030501</v>
      </c>
      <c r="C156" s="228" t="s">
        <v>358</v>
      </c>
      <c r="D156" s="206">
        <v>25</v>
      </c>
      <c r="E156" s="229">
        <v>0.2</v>
      </c>
      <c r="F156" s="230">
        <v>0</v>
      </c>
      <c r="G156" s="231" t="s">
        <v>533</v>
      </c>
      <c r="H156" s="231"/>
      <c r="I156" s="231" t="s">
        <v>61</v>
      </c>
      <c r="J156" s="231" t="s">
        <v>9</v>
      </c>
    </row>
    <row r="157" spans="1:10" ht="18.75" customHeight="1" x14ac:dyDescent="0.35">
      <c r="A157" s="255">
        <v>3</v>
      </c>
      <c r="B157" s="206">
        <v>13030502</v>
      </c>
      <c r="C157" s="228" t="s">
        <v>359</v>
      </c>
      <c r="D157" s="206">
        <v>10</v>
      </c>
      <c r="E157" s="229">
        <v>0.5</v>
      </c>
      <c r="F157" s="230">
        <v>0</v>
      </c>
      <c r="G157" s="252" t="s">
        <v>534</v>
      </c>
      <c r="H157" s="231"/>
      <c r="I157" s="231" t="s">
        <v>61</v>
      </c>
      <c r="J157" s="231" t="s">
        <v>9</v>
      </c>
    </row>
    <row r="158" spans="1:10" ht="18.75" customHeight="1" x14ac:dyDescent="0.35">
      <c r="A158" s="255">
        <v>4</v>
      </c>
      <c r="B158" s="206">
        <v>13010510</v>
      </c>
      <c r="C158" s="228" t="s">
        <v>213</v>
      </c>
      <c r="D158" s="206">
        <v>80</v>
      </c>
      <c r="E158" s="229">
        <v>7.4999999999999997E-2</v>
      </c>
      <c r="F158" s="230">
        <v>0</v>
      </c>
      <c r="G158" s="231" t="s">
        <v>535</v>
      </c>
      <c r="H158" s="231"/>
      <c r="I158" s="231" t="s">
        <v>61</v>
      </c>
      <c r="J158" s="231" t="s">
        <v>9</v>
      </c>
    </row>
    <row r="159" spans="1:10" ht="18.75" customHeight="1" x14ac:dyDescent="0.35">
      <c r="A159" s="255">
        <v>5</v>
      </c>
      <c r="B159" s="206">
        <v>13010521</v>
      </c>
      <c r="C159" s="228" t="s">
        <v>214</v>
      </c>
      <c r="D159" s="206">
        <v>45</v>
      </c>
      <c r="E159" s="229">
        <v>0.15</v>
      </c>
      <c r="F159" s="230">
        <v>0</v>
      </c>
      <c r="G159" s="231" t="s">
        <v>536</v>
      </c>
      <c r="H159" s="231"/>
      <c r="I159" s="231" t="s">
        <v>61</v>
      </c>
      <c r="J159" s="231" t="s">
        <v>9</v>
      </c>
    </row>
    <row r="160" spans="1:10" ht="18.75" customHeight="1" x14ac:dyDescent="0.35">
      <c r="A160" s="255">
        <v>6</v>
      </c>
      <c r="B160" s="206">
        <v>13010513</v>
      </c>
      <c r="C160" s="228" t="s">
        <v>215</v>
      </c>
      <c r="D160" s="206">
        <v>15</v>
      </c>
      <c r="E160" s="229">
        <v>0.375</v>
      </c>
      <c r="F160" s="230">
        <v>0</v>
      </c>
      <c r="G160" s="231" t="s">
        <v>537</v>
      </c>
      <c r="H160" s="231"/>
      <c r="I160" s="231" t="s">
        <v>61</v>
      </c>
      <c r="J160" s="231" t="s">
        <v>9</v>
      </c>
    </row>
    <row r="161" spans="1:10" ht="18.75" customHeight="1" x14ac:dyDescent="0.35">
      <c r="A161" s="255"/>
      <c r="B161" s="206">
        <v>13010502</v>
      </c>
      <c r="C161" s="228" t="s">
        <v>48</v>
      </c>
      <c r="D161" s="206">
        <v>10</v>
      </c>
      <c r="E161" s="229">
        <v>0.5</v>
      </c>
      <c r="F161" s="230">
        <v>0</v>
      </c>
      <c r="G161" s="231" t="s">
        <v>538</v>
      </c>
      <c r="H161" s="231"/>
      <c r="I161" s="231" t="s">
        <v>61</v>
      </c>
      <c r="J161" s="231" t="s">
        <v>9</v>
      </c>
    </row>
    <row r="162" spans="1:10" ht="18.75" customHeight="1" x14ac:dyDescent="0.35">
      <c r="A162" s="255">
        <v>7</v>
      </c>
      <c r="B162" s="206">
        <v>13070501</v>
      </c>
      <c r="C162" s="228" t="s">
        <v>360</v>
      </c>
      <c r="D162" s="206">
        <v>45</v>
      </c>
      <c r="E162" s="229">
        <v>0.15</v>
      </c>
      <c r="F162" s="230">
        <v>0</v>
      </c>
      <c r="G162" s="231" t="s">
        <v>539</v>
      </c>
      <c r="H162" s="231"/>
      <c r="I162" s="231" t="s">
        <v>61</v>
      </c>
      <c r="J162" s="231" t="s">
        <v>9</v>
      </c>
    </row>
    <row r="163" spans="1:10" ht="18.75" customHeight="1" x14ac:dyDescent="0.35">
      <c r="A163" s="255">
        <v>8</v>
      </c>
      <c r="B163" s="206">
        <v>13070502</v>
      </c>
      <c r="C163" s="228" t="s">
        <v>361</v>
      </c>
      <c r="D163" s="206">
        <v>24</v>
      </c>
      <c r="E163" s="229">
        <v>0.375</v>
      </c>
      <c r="F163" s="230">
        <v>0</v>
      </c>
      <c r="G163" s="231" t="s">
        <v>540</v>
      </c>
      <c r="H163" s="231"/>
      <c r="I163" s="231" t="s">
        <v>61</v>
      </c>
      <c r="J163" s="231" t="s">
        <v>9</v>
      </c>
    </row>
    <row r="164" spans="1:10" ht="18.75" customHeight="1" x14ac:dyDescent="0.35">
      <c r="A164" s="255">
        <v>9</v>
      </c>
      <c r="B164" s="206">
        <v>13070505</v>
      </c>
      <c r="C164" s="228" t="s">
        <v>362</v>
      </c>
      <c r="D164" s="206">
        <v>15</v>
      </c>
      <c r="E164" s="229">
        <v>0.375</v>
      </c>
      <c r="F164" s="230">
        <v>0</v>
      </c>
      <c r="G164" s="231" t="s">
        <v>541</v>
      </c>
      <c r="H164" s="231"/>
      <c r="I164" s="231" t="s">
        <v>61</v>
      </c>
      <c r="J164" s="231" t="s">
        <v>9</v>
      </c>
    </row>
    <row r="165" spans="1:10" ht="18.75" customHeight="1" x14ac:dyDescent="0.35">
      <c r="A165" s="255">
        <v>10</v>
      </c>
      <c r="B165" s="206">
        <v>13110504</v>
      </c>
      <c r="C165" s="228" t="s">
        <v>363</v>
      </c>
      <c r="D165" s="206">
        <v>10</v>
      </c>
      <c r="E165" s="229">
        <v>0.5</v>
      </c>
      <c r="F165" s="230">
        <v>0</v>
      </c>
      <c r="G165" s="231" t="s">
        <v>542</v>
      </c>
      <c r="H165" s="231"/>
      <c r="I165" s="231" t="s">
        <v>61</v>
      </c>
      <c r="J165" s="231" t="s">
        <v>9</v>
      </c>
    </row>
    <row r="166" spans="1:10" ht="18.75" customHeight="1" x14ac:dyDescent="0.35">
      <c r="A166" s="255">
        <v>11</v>
      </c>
      <c r="B166" s="232">
        <v>13070506</v>
      </c>
      <c r="C166" s="228" t="s">
        <v>364</v>
      </c>
      <c r="D166" s="206">
        <v>15</v>
      </c>
      <c r="E166" s="229">
        <v>0.375</v>
      </c>
      <c r="F166" s="230">
        <v>0</v>
      </c>
      <c r="G166" s="231" t="s">
        <v>543</v>
      </c>
      <c r="H166" s="231"/>
      <c r="I166" s="231" t="s">
        <v>61</v>
      </c>
      <c r="J166" s="231" t="s">
        <v>9</v>
      </c>
    </row>
    <row r="167" spans="1:10" ht="18.75" customHeight="1" x14ac:dyDescent="0.35">
      <c r="A167" s="255">
        <v>12</v>
      </c>
      <c r="B167" s="232">
        <v>13010523</v>
      </c>
      <c r="C167" s="228" t="s">
        <v>365</v>
      </c>
      <c r="D167" s="206">
        <v>20</v>
      </c>
      <c r="E167" s="229">
        <v>0.3</v>
      </c>
      <c r="F167" s="230">
        <v>0</v>
      </c>
      <c r="G167" s="231" t="s">
        <v>544</v>
      </c>
      <c r="H167" s="231" t="s">
        <v>38</v>
      </c>
      <c r="I167" s="231" t="s">
        <v>61</v>
      </c>
      <c r="J167" s="231" t="s">
        <v>9</v>
      </c>
    </row>
    <row r="168" spans="1:10" s="88" customFormat="1" ht="18.75" customHeight="1" x14ac:dyDescent="0.35">
      <c r="A168" s="255">
        <v>13</v>
      </c>
      <c r="B168" s="232">
        <v>13010524</v>
      </c>
      <c r="C168" s="228" t="s">
        <v>366</v>
      </c>
      <c r="D168" s="206">
        <v>10</v>
      </c>
      <c r="E168" s="229">
        <v>0.5</v>
      </c>
      <c r="F168" s="230">
        <v>0</v>
      </c>
      <c r="G168" s="215" t="s">
        <v>545</v>
      </c>
      <c r="H168" s="215"/>
      <c r="I168" s="231" t="s">
        <v>61</v>
      </c>
      <c r="J168" s="231" t="s">
        <v>9</v>
      </c>
    </row>
    <row r="169" spans="1:10" ht="18.75" customHeight="1" x14ac:dyDescent="0.35">
      <c r="A169" s="255">
        <v>14</v>
      </c>
      <c r="B169" s="232">
        <v>13010525</v>
      </c>
      <c r="C169" s="228" t="s">
        <v>367</v>
      </c>
      <c r="D169" s="206">
        <v>10</v>
      </c>
      <c r="E169" s="229">
        <v>0.5</v>
      </c>
      <c r="F169" s="230">
        <v>0</v>
      </c>
      <c r="G169" s="231" t="s">
        <v>546</v>
      </c>
      <c r="H169" s="231"/>
      <c r="I169" s="231" t="s">
        <v>61</v>
      </c>
      <c r="J169" s="231" t="s">
        <v>9</v>
      </c>
    </row>
    <row r="170" spans="1:10" ht="24" customHeight="1" x14ac:dyDescent="0.35">
      <c r="A170" s="238"/>
      <c r="B170" s="237"/>
      <c r="C170" s="239" t="s">
        <v>35</v>
      </c>
      <c r="D170" s="234"/>
      <c r="E170" s="240"/>
      <c r="F170" s="241"/>
      <c r="G170" s="231"/>
      <c r="H170" s="231"/>
      <c r="I170" s="231"/>
      <c r="J170" s="231"/>
    </row>
    <row r="171" spans="1:10" ht="18.75" customHeight="1" x14ac:dyDescent="0.35">
      <c r="A171" s="227">
        <v>1</v>
      </c>
      <c r="B171" s="232">
        <v>16060503</v>
      </c>
      <c r="C171" s="228" t="s">
        <v>368</v>
      </c>
      <c r="D171" s="206">
        <v>30</v>
      </c>
      <c r="E171" s="229">
        <v>0.18</v>
      </c>
      <c r="F171" s="230">
        <v>0</v>
      </c>
      <c r="G171" s="231" t="s">
        <v>547</v>
      </c>
      <c r="H171" s="231"/>
      <c r="I171" s="231" t="s">
        <v>61</v>
      </c>
      <c r="J171" s="231" t="s">
        <v>35</v>
      </c>
    </row>
    <row r="172" spans="1:10" ht="18.75" customHeight="1" x14ac:dyDescent="0.35">
      <c r="A172" s="227">
        <v>2</v>
      </c>
      <c r="B172" s="232">
        <v>16060502</v>
      </c>
      <c r="C172" s="228" t="s">
        <v>369</v>
      </c>
      <c r="D172" s="206">
        <v>12</v>
      </c>
      <c r="E172" s="229">
        <v>0.9</v>
      </c>
      <c r="F172" s="230">
        <v>0</v>
      </c>
      <c r="G172" s="231" t="s">
        <v>548</v>
      </c>
      <c r="H172" s="231"/>
      <c r="I172" s="231" t="s">
        <v>61</v>
      </c>
      <c r="J172" s="231" t="s">
        <v>35</v>
      </c>
    </row>
    <row r="173" spans="1:10" ht="24" customHeight="1" x14ac:dyDescent="0.4">
      <c r="A173" s="256"/>
      <c r="B173" s="234"/>
      <c r="C173" s="218" t="s">
        <v>32</v>
      </c>
      <c r="D173" s="234"/>
      <c r="E173" s="220"/>
      <c r="F173" s="221"/>
      <c r="G173" s="231"/>
      <c r="H173" s="231"/>
      <c r="I173" s="231"/>
      <c r="J173" s="231"/>
    </row>
    <row r="174" spans="1:10" ht="24" customHeight="1" x14ac:dyDescent="0.35">
      <c r="A174" s="236"/>
      <c r="B174" s="237"/>
      <c r="C174" s="239" t="s">
        <v>4</v>
      </c>
      <c r="D174" s="234"/>
      <c r="E174" s="240"/>
      <c r="F174" s="241"/>
      <c r="G174" s="231"/>
      <c r="H174" s="231"/>
      <c r="I174" s="231"/>
      <c r="J174" s="231"/>
    </row>
    <row r="175" spans="1:10" ht="18.75" customHeight="1" x14ac:dyDescent="0.35">
      <c r="A175" s="257">
        <v>1</v>
      </c>
      <c r="B175" s="258">
        <v>12012501</v>
      </c>
      <c r="C175" s="228" t="s">
        <v>370</v>
      </c>
      <c r="D175" s="206">
        <v>20</v>
      </c>
      <c r="E175" s="229">
        <v>0.25</v>
      </c>
      <c r="F175" s="230">
        <v>0</v>
      </c>
      <c r="G175" s="231" t="s">
        <v>549</v>
      </c>
      <c r="H175" s="231"/>
      <c r="I175" s="231" t="s">
        <v>32</v>
      </c>
      <c r="J175" s="231" t="s">
        <v>4</v>
      </c>
    </row>
    <row r="176" spans="1:10" ht="18.75" customHeight="1" x14ac:dyDescent="0.35">
      <c r="A176" s="257">
        <v>2</v>
      </c>
      <c r="B176" s="258">
        <v>12012502</v>
      </c>
      <c r="C176" s="228" t="s">
        <v>371</v>
      </c>
      <c r="D176" s="206">
        <v>10</v>
      </c>
      <c r="E176" s="229">
        <v>0.5</v>
      </c>
      <c r="F176" s="230">
        <v>0</v>
      </c>
      <c r="G176" s="231" t="s">
        <v>550</v>
      </c>
      <c r="H176" s="231"/>
      <c r="I176" s="231" t="s">
        <v>32</v>
      </c>
      <c r="J176" s="231" t="s">
        <v>4</v>
      </c>
    </row>
    <row r="177" spans="1:10" ht="18.75" customHeight="1" x14ac:dyDescent="0.35">
      <c r="A177" s="257">
        <v>3</v>
      </c>
      <c r="B177" s="258">
        <v>12012503</v>
      </c>
      <c r="C177" s="228" t="s">
        <v>372</v>
      </c>
      <c r="D177" s="206">
        <v>5</v>
      </c>
      <c r="E177" s="229">
        <v>1</v>
      </c>
      <c r="F177" s="230">
        <v>0</v>
      </c>
      <c r="G177" s="231" t="s">
        <v>551</v>
      </c>
      <c r="H177" s="231"/>
      <c r="I177" s="231" t="s">
        <v>32</v>
      </c>
      <c r="J177" s="231" t="s">
        <v>4</v>
      </c>
    </row>
    <row r="178" spans="1:10" ht="18.75" customHeight="1" x14ac:dyDescent="0.35">
      <c r="A178" s="257">
        <v>4</v>
      </c>
      <c r="B178" s="258">
        <v>12032501</v>
      </c>
      <c r="C178" s="228" t="s">
        <v>373</v>
      </c>
      <c r="D178" s="206">
        <v>20</v>
      </c>
      <c r="E178" s="229">
        <v>0.25</v>
      </c>
      <c r="F178" s="230">
        <v>0</v>
      </c>
      <c r="G178" s="231" t="s">
        <v>552</v>
      </c>
      <c r="H178" s="231"/>
      <c r="I178" s="231" t="s">
        <v>32</v>
      </c>
      <c r="J178" s="231" t="s">
        <v>4</v>
      </c>
    </row>
    <row r="179" spans="1:10" ht="18.75" customHeight="1" x14ac:dyDescent="0.35">
      <c r="A179" s="257">
        <v>5</v>
      </c>
      <c r="B179" s="258">
        <v>12032502</v>
      </c>
      <c r="C179" s="228" t="s">
        <v>374</v>
      </c>
      <c r="D179" s="206">
        <v>10</v>
      </c>
      <c r="E179" s="229">
        <v>0.5</v>
      </c>
      <c r="F179" s="230">
        <v>0</v>
      </c>
      <c r="G179" s="231" t="s">
        <v>553</v>
      </c>
      <c r="H179" s="231"/>
      <c r="I179" s="231" t="s">
        <v>32</v>
      </c>
      <c r="J179" s="231" t="s">
        <v>4</v>
      </c>
    </row>
    <row r="180" spans="1:10" ht="18.75" customHeight="1" x14ac:dyDescent="0.35">
      <c r="A180" s="257">
        <v>6</v>
      </c>
      <c r="B180" s="258">
        <v>12032503</v>
      </c>
      <c r="C180" s="228" t="s">
        <v>375</v>
      </c>
      <c r="D180" s="206">
        <v>5</v>
      </c>
      <c r="E180" s="229">
        <v>1</v>
      </c>
      <c r="F180" s="230">
        <v>0</v>
      </c>
      <c r="G180" s="231" t="s">
        <v>554</v>
      </c>
      <c r="H180" s="231"/>
      <c r="I180" s="231" t="s">
        <v>32</v>
      </c>
      <c r="J180" s="231" t="s">
        <v>4</v>
      </c>
    </row>
    <row r="181" spans="1:10" ht="18.75" customHeight="1" x14ac:dyDescent="0.35">
      <c r="A181" s="257">
        <v>7</v>
      </c>
      <c r="B181" s="206">
        <v>12012504</v>
      </c>
      <c r="C181" s="228" t="s">
        <v>376</v>
      </c>
      <c r="D181" s="206">
        <v>30</v>
      </c>
      <c r="E181" s="229">
        <v>0.2</v>
      </c>
      <c r="F181" s="230">
        <v>0</v>
      </c>
      <c r="G181" s="231" t="s">
        <v>555</v>
      </c>
      <c r="H181" s="231"/>
      <c r="I181" s="231" t="s">
        <v>32</v>
      </c>
      <c r="J181" s="231" t="s">
        <v>4</v>
      </c>
    </row>
    <row r="182" spans="1:10" ht="18.75" customHeight="1" x14ac:dyDescent="0.35">
      <c r="A182" s="257">
        <v>8</v>
      </c>
      <c r="B182" s="206">
        <v>12012505</v>
      </c>
      <c r="C182" s="228" t="s">
        <v>377</v>
      </c>
      <c r="D182" s="206">
        <v>15</v>
      </c>
      <c r="E182" s="229">
        <v>0.4</v>
      </c>
      <c r="F182" s="230">
        <v>0</v>
      </c>
      <c r="G182" s="231" t="s">
        <v>556</v>
      </c>
      <c r="H182" s="231"/>
      <c r="I182" s="231" t="s">
        <v>32</v>
      </c>
      <c r="J182" s="231" t="s">
        <v>4</v>
      </c>
    </row>
    <row r="183" spans="1:10" s="37" customFormat="1" ht="24" customHeight="1" x14ac:dyDescent="0.4">
      <c r="A183" s="259"/>
      <c r="B183" s="234"/>
      <c r="C183" s="218" t="s">
        <v>27</v>
      </c>
      <c r="D183" s="234"/>
      <c r="E183" s="220"/>
      <c r="F183" s="221"/>
      <c r="G183" s="231"/>
      <c r="H183" s="231"/>
      <c r="I183" s="231"/>
      <c r="J183" s="231"/>
    </row>
    <row r="184" spans="1:10" s="64" customFormat="1" ht="24" customHeight="1" x14ac:dyDescent="0.35">
      <c r="A184" s="236"/>
      <c r="B184" s="237"/>
      <c r="C184" s="239" t="s">
        <v>4</v>
      </c>
      <c r="D184" s="234"/>
      <c r="E184" s="240"/>
      <c r="F184" s="241"/>
      <c r="G184" s="251"/>
      <c r="H184" s="251"/>
      <c r="I184" s="251"/>
      <c r="J184" s="251"/>
    </row>
    <row r="185" spans="1:10" ht="18.75" customHeight="1" x14ac:dyDescent="0.35">
      <c r="A185" s="227">
        <v>1</v>
      </c>
      <c r="B185" s="206">
        <v>12030802</v>
      </c>
      <c r="C185" s="228" t="s">
        <v>378</v>
      </c>
      <c r="D185" s="206">
        <v>10</v>
      </c>
      <c r="E185" s="229">
        <v>0.5</v>
      </c>
      <c r="F185" s="230">
        <v>0</v>
      </c>
      <c r="G185" s="231" t="s">
        <v>557</v>
      </c>
      <c r="H185" s="231"/>
      <c r="I185" s="231" t="s">
        <v>27</v>
      </c>
      <c r="J185" s="231" t="s">
        <v>4</v>
      </c>
    </row>
    <row r="186" spans="1:10" ht="18.75" customHeight="1" x14ac:dyDescent="0.35">
      <c r="A186" s="227">
        <v>2</v>
      </c>
      <c r="B186" s="206">
        <v>12030801</v>
      </c>
      <c r="C186" s="228" t="s">
        <v>379</v>
      </c>
      <c r="D186" s="206">
        <v>5</v>
      </c>
      <c r="E186" s="229">
        <v>1</v>
      </c>
      <c r="F186" s="230">
        <v>0</v>
      </c>
      <c r="G186" s="231" t="s">
        <v>558</v>
      </c>
      <c r="H186" s="231"/>
      <c r="I186" s="231" t="s">
        <v>27</v>
      </c>
      <c r="J186" s="231" t="s">
        <v>4</v>
      </c>
    </row>
    <row r="187" spans="1:10" ht="18.75" customHeight="1" x14ac:dyDescent="0.35">
      <c r="A187" s="227">
        <v>3</v>
      </c>
      <c r="B187" s="206">
        <v>12010801</v>
      </c>
      <c r="C187" s="228" t="s">
        <v>380</v>
      </c>
      <c r="D187" s="206">
        <v>10</v>
      </c>
      <c r="E187" s="229">
        <v>0.5</v>
      </c>
      <c r="F187" s="230">
        <v>0</v>
      </c>
      <c r="G187" s="231" t="s">
        <v>559</v>
      </c>
      <c r="H187" s="231"/>
      <c r="I187" s="231" t="s">
        <v>27</v>
      </c>
      <c r="J187" s="231" t="s">
        <v>4</v>
      </c>
    </row>
    <row r="188" spans="1:10" s="64" customFormat="1" ht="23.25" customHeight="1" x14ac:dyDescent="0.35">
      <c r="A188" s="236"/>
      <c r="B188" s="237"/>
      <c r="C188" s="239" t="s">
        <v>9</v>
      </c>
      <c r="D188" s="234"/>
      <c r="E188" s="240"/>
      <c r="F188" s="241"/>
      <c r="G188" s="251"/>
      <c r="H188" s="251"/>
      <c r="I188" s="251"/>
      <c r="J188" s="251"/>
    </row>
    <row r="189" spans="1:10" ht="18.75" customHeight="1" x14ac:dyDescent="0.35">
      <c r="A189" s="260">
        <v>1</v>
      </c>
      <c r="B189" s="206">
        <v>13010811</v>
      </c>
      <c r="C189" s="228" t="s">
        <v>228</v>
      </c>
      <c r="D189" s="206">
        <v>10</v>
      </c>
      <c r="E189" s="229">
        <v>1</v>
      </c>
      <c r="F189" s="230">
        <v>0</v>
      </c>
      <c r="G189" s="231" t="s">
        <v>560</v>
      </c>
      <c r="H189" s="231"/>
      <c r="I189" s="231" t="s">
        <v>27</v>
      </c>
      <c r="J189" s="231" t="s">
        <v>9</v>
      </c>
    </row>
    <row r="190" spans="1:10" ht="18.75" customHeight="1" x14ac:dyDescent="0.35">
      <c r="A190" s="247">
        <v>2</v>
      </c>
      <c r="B190" s="206">
        <v>13010809</v>
      </c>
      <c r="C190" s="228" t="s">
        <v>229</v>
      </c>
      <c r="D190" s="206">
        <v>20</v>
      </c>
      <c r="E190" s="229">
        <v>0.5</v>
      </c>
      <c r="F190" s="230">
        <v>0</v>
      </c>
      <c r="G190" s="231" t="s">
        <v>561</v>
      </c>
      <c r="H190" s="231"/>
      <c r="I190" s="231" t="s">
        <v>27</v>
      </c>
      <c r="J190" s="231" t="s">
        <v>9</v>
      </c>
    </row>
    <row r="191" spans="1:10" ht="18.75" customHeight="1" x14ac:dyDescent="0.35">
      <c r="A191" s="247">
        <v>3</v>
      </c>
      <c r="B191" s="206">
        <v>13010818</v>
      </c>
      <c r="C191" s="228" t="s">
        <v>381</v>
      </c>
      <c r="D191" s="206">
        <v>10</v>
      </c>
      <c r="E191" s="229">
        <v>1</v>
      </c>
      <c r="F191" s="230">
        <v>0</v>
      </c>
      <c r="G191" s="231" t="s">
        <v>562</v>
      </c>
      <c r="H191" s="231"/>
      <c r="I191" s="231" t="s">
        <v>27</v>
      </c>
      <c r="J191" s="231" t="s">
        <v>9</v>
      </c>
    </row>
    <row r="192" spans="1:10" ht="18.75" customHeight="1" x14ac:dyDescent="0.35">
      <c r="A192" s="247">
        <v>4</v>
      </c>
      <c r="B192" s="206">
        <v>13010817</v>
      </c>
      <c r="C192" s="228" t="s">
        <v>382</v>
      </c>
      <c r="D192" s="206">
        <v>20</v>
      </c>
      <c r="E192" s="229">
        <v>0.5</v>
      </c>
      <c r="F192" s="230">
        <v>0</v>
      </c>
      <c r="G192" s="231" t="s">
        <v>563</v>
      </c>
      <c r="H192" s="231"/>
      <c r="I192" s="231" t="s">
        <v>27</v>
      </c>
      <c r="J192" s="231" t="s">
        <v>9</v>
      </c>
    </row>
    <row r="193" spans="1:10" ht="18.75" customHeight="1" x14ac:dyDescent="0.35">
      <c r="A193" s="247">
        <v>5</v>
      </c>
      <c r="B193" s="206">
        <v>13030804</v>
      </c>
      <c r="C193" s="228" t="s">
        <v>230</v>
      </c>
      <c r="D193" s="206">
        <v>10</v>
      </c>
      <c r="E193" s="229">
        <v>0.5</v>
      </c>
      <c r="F193" s="230">
        <v>0</v>
      </c>
      <c r="G193" s="231" t="s">
        <v>564</v>
      </c>
      <c r="H193" s="231"/>
      <c r="I193" s="231" t="s">
        <v>27</v>
      </c>
      <c r="J193" s="231" t="s">
        <v>9</v>
      </c>
    </row>
    <row r="194" spans="1:10" ht="18.75" customHeight="1" x14ac:dyDescent="0.35">
      <c r="A194" s="247">
        <v>6</v>
      </c>
      <c r="B194" s="206">
        <v>13030805</v>
      </c>
      <c r="C194" s="228" t="s">
        <v>231</v>
      </c>
      <c r="D194" s="206">
        <v>5</v>
      </c>
      <c r="E194" s="229">
        <v>1</v>
      </c>
      <c r="F194" s="230">
        <v>0</v>
      </c>
      <c r="G194" s="231" t="s">
        <v>565</v>
      </c>
      <c r="H194" s="231"/>
      <c r="I194" s="231" t="s">
        <v>27</v>
      </c>
      <c r="J194" s="231" t="s">
        <v>9</v>
      </c>
    </row>
    <row r="195" spans="1:10" ht="18.75" customHeight="1" x14ac:dyDescent="0.35">
      <c r="A195" s="247">
        <v>7</v>
      </c>
      <c r="B195" s="206">
        <v>13010815</v>
      </c>
      <c r="C195" s="228" t="s">
        <v>383</v>
      </c>
      <c r="D195" s="206">
        <v>10</v>
      </c>
      <c r="E195" s="229">
        <v>0.5</v>
      </c>
      <c r="F195" s="230">
        <v>0</v>
      </c>
      <c r="G195" s="231" t="s">
        <v>566</v>
      </c>
      <c r="H195" s="231"/>
      <c r="I195" s="231" t="s">
        <v>27</v>
      </c>
      <c r="J195" s="231" t="s">
        <v>9</v>
      </c>
    </row>
    <row r="196" spans="1:10" ht="18.75" customHeight="1" x14ac:dyDescent="0.35">
      <c r="A196" s="247">
        <v>8</v>
      </c>
      <c r="B196" s="206">
        <v>13010816</v>
      </c>
      <c r="C196" s="228" t="s">
        <v>384</v>
      </c>
      <c r="D196" s="206">
        <v>10</v>
      </c>
      <c r="E196" s="229">
        <v>0.5</v>
      </c>
      <c r="F196" s="230">
        <v>0</v>
      </c>
      <c r="G196" s="231" t="s">
        <v>567</v>
      </c>
      <c r="H196" s="231"/>
      <c r="I196" s="231" t="s">
        <v>27</v>
      </c>
      <c r="J196" s="231" t="s">
        <v>9</v>
      </c>
    </row>
    <row r="197" spans="1:10" ht="18.75" customHeight="1" x14ac:dyDescent="0.35">
      <c r="A197" s="247">
        <v>9</v>
      </c>
      <c r="B197" s="206">
        <v>13050202</v>
      </c>
      <c r="C197" s="228" t="s">
        <v>385</v>
      </c>
      <c r="D197" s="206">
        <v>20</v>
      </c>
      <c r="E197" s="229">
        <v>0.28000000000000003</v>
      </c>
      <c r="F197" s="230">
        <v>0</v>
      </c>
      <c r="G197" s="231" t="s">
        <v>568</v>
      </c>
      <c r="H197" s="231"/>
      <c r="I197" s="231" t="s">
        <v>27</v>
      </c>
      <c r="J197" s="231" t="s">
        <v>9</v>
      </c>
    </row>
    <row r="198" spans="1:10" ht="18.75" customHeight="1" x14ac:dyDescent="0.35">
      <c r="A198" s="247">
        <v>10</v>
      </c>
      <c r="B198" s="206">
        <v>13050201</v>
      </c>
      <c r="C198" s="228" t="s">
        <v>386</v>
      </c>
      <c r="D198" s="206">
        <v>24</v>
      </c>
      <c r="E198" s="229">
        <v>0.25</v>
      </c>
      <c r="F198" s="230">
        <v>0</v>
      </c>
      <c r="G198" s="231" t="s">
        <v>569</v>
      </c>
      <c r="H198" s="231"/>
      <c r="I198" s="231" t="s">
        <v>27</v>
      </c>
      <c r="J198" s="231" t="s">
        <v>9</v>
      </c>
    </row>
    <row r="199" spans="1:10" s="37" customFormat="1" ht="24" customHeight="1" x14ac:dyDescent="0.4">
      <c r="A199" s="261"/>
      <c r="B199" s="234"/>
      <c r="C199" s="218" t="s">
        <v>16</v>
      </c>
      <c r="D199" s="234"/>
      <c r="E199" s="220"/>
      <c r="F199" s="221"/>
      <c r="G199" s="231"/>
      <c r="H199" s="231"/>
      <c r="I199" s="231"/>
      <c r="J199" s="231"/>
    </row>
    <row r="200" spans="1:10" s="37" customFormat="1" ht="24.75" customHeight="1" x14ac:dyDescent="0.35">
      <c r="A200" s="238"/>
      <c r="B200" s="237"/>
      <c r="C200" s="239" t="s">
        <v>4</v>
      </c>
      <c r="D200" s="234"/>
      <c r="E200" s="240"/>
      <c r="F200" s="241"/>
      <c r="G200" s="231"/>
      <c r="H200" s="231"/>
      <c r="I200" s="231"/>
      <c r="J200" s="231"/>
    </row>
    <row r="201" spans="1:10" s="37" customFormat="1" ht="18.75" customHeight="1" x14ac:dyDescent="0.35">
      <c r="A201" s="227">
        <v>1</v>
      </c>
      <c r="B201" s="206">
        <v>12032203</v>
      </c>
      <c r="C201" s="228" t="s">
        <v>223</v>
      </c>
      <c r="D201" s="206">
        <v>20</v>
      </c>
      <c r="E201" s="229">
        <v>0.25</v>
      </c>
      <c r="F201" s="230">
        <v>0</v>
      </c>
      <c r="G201" s="231" t="s">
        <v>570</v>
      </c>
      <c r="H201" s="231"/>
      <c r="I201" s="231" t="s">
        <v>16</v>
      </c>
      <c r="J201" s="231" t="s">
        <v>4</v>
      </c>
    </row>
    <row r="202" spans="1:10" s="37" customFormat="1" ht="18.75" customHeight="1" x14ac:dyDescent="0.35">
      <c r="A202" s="227">
        <v>2</v>
      </c>
      <c r="B202" s="206">
        <v>12032201</v>
      </c>
      <c r="C202" s="228" t="s">
        <v>224</v>
      </c>
      <c r="D202" s="206">
        <v>10</v>
      </c>
      <c r="E202" s="229">
        <v>0.5</v>
      </c>
      <c r="F202" s="230">
        <v>0</v>
      </c>
      <c r="G202" s="231" t="s">
        <v>571</v>
      </c>
      <c r="H202" s="231"/>
      <c r="I202" s="231" t="s">
        <v>16</v>
      </c>
      <c r="J202" s="231" t="s">
        <v>4</v>
      </c>
    </row>
    <row r="203" spans="1:10" s="37" customFormat="1" ht="18.75" customHeight="1" x14ac:dyDescent="0.35">
      <c r="A203" s="227">
        <v>3</v>
      </c>
      <c r="B203" s="206">
        <v>12032202</v>
      </c>
      <c r="C203" s="228" t="s">
        <v>225</v>
      </c>
      <c r="D203" s="206">
        <v>5</v>
      </c>
      <c r="E203" s="229">
        <v>1</v>
      </c>
      <c r="F203" s="230">
        <v>0</v>
      </c>
      <c r="G203" s="231" t="s">
        <v>572</v>
      </c>
      <c r="H203" s="231"/>
      <c r="I203" s="231" t="s">
        <v>16</v>
      </c>
      <c r="J203" s="231" t="s">
        <v>4</v>
      </c>
    </row>
    <row r="204" spans="1:10" s="37" customFormat="1" ht="18.75" customHeight="1" x14ac:dyDescent="0.35">
      <c r="A204" s="227">
        <v>4</v>
      </c>
      <c r="B204" s="206">
        <v>12012203</v>
      </c>
      <c r="C204" s="228" t="s">
        <v>227</v>
      </c>
      <c r="D204" s="206">
        <v>20</v>
      </c>
      <c r="E204" s="229">
        <v>0.25</v>
      </c>
      <c r="F204" s="230">
        <v>0</v>
      </c>
      <c r="G204" s="231" t="s">
        <v>573</v>
      </c>
      <c r="H204" s="231"/>
      <c r="I204" s="231" t="s">
        <v>16</v>
      </c>
      <c r="J204" s="231" t="s">
        <v>4</v>
      </c>
    </row>
    <row r="205" spans="1:10" s="37" customFormat="1" ht="18.75" customHeight="1" x14ac:dyDescent="0.35">
      <c r="A205" s="227">
        <v>5</v>
      </c>
      <c r="B205" s="206">
        <v>12012201</v>
      </c>
      <c r="C205" s="228" t="s">
        <v>226</v>
      </c>
      <c r="D205" s="206">
        <v>10</v>
      </c>
      <c r="E205" s="229">
        <v>0.5</v>
      </c>
      <c r="F205" s="230">
        <v>0</v>
      </c>
      <c r="G205" s="231" t="s">
        <v>574</v>
      </c>
      <c r="H205" s="231"/>
      <c r="I205" s="231" t="s">
        <v>16</v>
      </c>
      <c r="J205" s="231" t="s">
        <v>4</v>
      </c>
    </row>
    <row r="206" spans="1:10" s="37" customFormat="1" ht="18.75" customHeight="1" x14ac:dyDescent="0.35">
      <c r="A206" s="227">
        <v>6</v>
      </c>
      <c r="B206" s="206">
        <v>12012202</v>
      </c>
      <c r="C206" s="228" t="s">
        <v>387</v>
      </c>
      <c r="D206" s="206">
        <v>5</v>
      </c>
      <c r="E206" s="229">
        <v>1</v>
      </c>
      <c r="F206" s="230">
        <v>0</v>
      </c>
      <c r="G206" s="231" t="s">
        <v>575</v>
      </c>
      <c r="H206" s="231"/>
      <c r="I206" s="231" t="s">
        <v>16</v>
      </c>
      <c r="J206" s="231" t="s">
        <v>4</v>
      </c>
    </row>
    <row r="207" spans="1:10" s="37" customFormat="1" ht="18.75" customHeight="1" x14ac:dyDescent="0.35">
      <c r="A207" s="227">
        <v>7</v>
      </c>
      <c r="B207" s="206">
        <v>12012204</v>
      </c>
      <c r="C207" s="228" t="s">
        <v>388</v>
      </c>
      <c r="D207" s="206">
        <v>20</v>
      </c>
      <c r="E207" s="229">
        <v>0.25</v>
      </c>
      <c r="F207" s="230">
        <v>0</v>
      </c>
      <c r="G207" s="231" t="s">
        <v>576</v>
      </c>
      <c r="H207" s="231"/>
      <c r="I207" s="231" t="s">
        <v>16</v>
      </c>
      <c r="J207" s="231" t="s">
        <v>4</v>
      </c>
    </row>
    <row r="208" spans="1:10" s="37" customFormat="1" ht="18.75" customHeight="1" x14ac:dyDescent="0.35">
      <c r="A208" s="227">
        <v>8</v>
      </c>
      <c r="B208" s="206">
        <v>12012205</v>
      </c>
      <c r="C208" s="228" t="s">
        <v>221</v>
      </c>
      <c r="D208" s="206">
        <v>10</v>
      </c>
      <c r="E208" s="229">
        <v>0.45</v>
      </c>
      <c r="F208" s="230">
        <v>0</v>
      </c>
      <c r="G208" s="231" t="s">
        <v>577</v>
      </c>
      <c r="H208" s="231"/>
      <c r="I208" s="231" t="s">
        <v>16</v>
      </c>
      <c r="J208" s="231" t="s">
        <v>4</v>
      </c>
    </row>
    <row r="209" spans="1:10" s="37" customFormat="1" ht="18.75" customHeight="1" x14ac:dyDescent="0.35">
      <c r="A209" s="227">
        <v>9</v>
      </c>
      <c r="B209" s="206">
        <v>12012206</v>
      </c>
      <c r="C209" s="228" t="s">
        <v>222</v>
      </c>
      <c r="D209" s="206">
        <v>5</v>
      </c>
      <c r="E209" s="229">
        <v>1</v>
      </c>
      <c r="F209" s="230">
        <v>0</v>
      </c>
      <c r="G209" s="231" t="s">
        <v>578</v>
      </c>
      <c r="H209" s="231"/>
      <c r="I209" s="231" t="s">
        <v>16</v>
      </c>
      <c r="J209" s="231" t="s">
        <v>4</v>
      </c>
    </row>
    <row r="210" spans="1:10" s="37" customFormat="1" ht="25.5" customHeight="1" x14ac:dyDescent="0.35">
      <c r="A210" s="262"/>
      <c r="B210" s="237"/>
      <c r="C210" s="239" t="s">
        <v>9</v>
      </c>
      <c r="D210" s="234"/>
      <c r="E210" s="240"/>
      <c r="F210" s="241"/>
      <c r="G210" s="231"/>
      <c r="H210" s="231"/>
      <c r="I210" s="231"/>
      <c r="J210" s="231"/>
    </row>
    <row r="211" spans="1:10" ht="18.75" customHeight="1" x14ac:dyDescent="0.35">
      <c r="A211" s="255">
        <v>1</v>
      </c>
      <c r="B211" s="206">
        <v>13012206</v>
      </c>
      <c r="C211" s="228" t="s">
        <v>232</v>
      </c>
      <c r="D211" s="206">
        <v>20</v>
      </c>
      <c r="E211" s="229">
        <v>0.5</v>
      </c>
      <c r="F211" s="230">
        <v>0</v>
      </c>
      <c r="G211" s="231" t="s">
        <v>579</v>
      </c>
      <c r="H211" s="231"/>
      <c r="I211" s="231" t="s">
        <v>16</v>
      </c>
      <c r="J211" s="231" t="s">
        <v>9</v>
      </c>
    </row>
    <row r="212" spans="1:10" ht="18.75" customHeight="1" x14ac:dyDescent="0.35">
      <c r="A212" s="227">
        <v>2</v>
      </c>
      <c r="B212" s="206">
        <v>13012208</v>
      </c>
      <c r="C212" s="228" t="s">
        <v>233</v>
      </c>
      <c r="D212" s="206">
        <v>10</v>
      </c>
      <c r="E212" s="229">
        <v>1</v>
      </c>
      <c r="F212" s="230">
        <v>0</v>
      </c>
      <c r="G212" s="231" t="s">
        <v>580</v>
      </c>
      <c r="H212" s="231"/>
      <c r="I212" s="231" t="s">
        <v>16</v>
      </c>
      <c r="J212" s="231" t="s">
        <v>9</v>
      </c>
    </row>
    <row r="213" spans="1:10" ht="18.75" customHeight="1" x14ac:dyDescent="0.35">
      <c r="A213" s="227">
        <v>3</v>
      </c>
      <c r="B213" s="206">
        <v>13012209</v>
      </c>
      <c r="C213" s="228" t="s">
        <v>389</v>
      </c>
      <c r="D213" s="206">
        <v>20</v>
      </c>
      <c r="E213" s="229">
        <v>0.5</v>
      </c>
      <c r="F213" s="230">
        <v>0</v>
      </c>
      <c r="G213" s="231" t="s">
        <v>581</v>
      </c>
      <c r="H213" s="231"/>
      <c r="I213" s="231" t="s">
        <v>16</v>
      </c>
      <c r="J213" s="231" t="s">
        <v>9</v>
      </c>
    </row>
    <row r="214" spans="1:10" ht="18.75" customHeight="1" x14ac:dyDescent="0.35">
      <c r="A214" s="227">
        <v>4</v>
      </c>
      <c r="B214" s="206">
        <v>13012210</v>
      </c>
      <c r="C214" s="228" t="s">
        <v>390</v>
      </c>
      <c r="D214" s="206">
        <v>10</v>
      </c>
      <c r="E214" s="229">
        <v>1</v>
      </c>
      <c r="F214" s="230">
        <v>0</v>
      </c>
      <c r="G214" s="231" t="s">
        <v>582</v>
      </c>
      <c r="H214" s="231"/>
      <c r="I214" s="231" t="s">
        <v>16</v>
      </c>
      <c r="J214" s="231" t="s">
        <v>9</v>
      </c>
    </row>
    <row r="215" spans="1:10" ht="18.75" customHeight="1" x14ac:dyDescent="0.35">
      <c r="A215" s="227">
        <v>5</v>
      </c>
      <c r="B215" s="206">
        <v>13012205</v>
      </c>
      <c r="C215" s="228" t="s">
        <v>220</v>
      </c>
      <c r="D215" s="206">
        <v>15</v>
      </c>
      <c r="E215" s="229">
        <v>0.375</v>
      </c>
      <c r="F215" s="230">
        <v>0</v>
      </c>
      <c r="G215" s="231" t="s">
        <v>583</v>
      </c>
      <c r="H215" s="231"/>
      <c r="I215" s="231" t="s">
        <v>16</v>
      </c>
      <c r="J215" s="231" t="s">
        <v>9</v>
      </c>
    </row>
    <row r="216" spans="1:10" ht="18.75" customHeight="1" x14ac:dyDescent="0.35">
      <c r="A216" s="227">
        <v>6</v>
      </c>
      <c r="B216" s="206">
        <v>13012207</v>
      </c>
      <c r="C216" s="228" t="s">
        <v>219</v>
      </c>
      <c r="D216" s="206">
        <v>8</v>
      </c>
      <c r="E216" s="229">
        <v>0.75</v>
      </c>
      <c r="F216" s="230">
        <v>0</v>
      </c>
      <c r="G216" s="231" t="s">
        <v>584</v>
      </c>
      <c r="H216" s="231"/>
      <c r="I216" s="231" t="s">
        <v>16</v>
      </c>
      <c r="J216" s="231" t="s">
        <v>9</v>
      </c>
    </row>
    <row r="217" spans="1:10" ht="18.75" customHeight="1" x14ac:dyDescent="0.4">
      <c r="A217" s="261"/>
      <c r="B217" s="234"/>
      <c r="C217" s="218" t="s">
        <v>5</v>
      </c>
      <c r="D217" s="234"/>
      <c r="E217" s="220"/>
      <c r="F217" s="221"/>
      <c r="G217" s="231"/>
      <c r="H217" s="231"/>
      <c r="I217" s="231"/>
      <c r="J217" s="231"/>
    </row>
    <row r="218" spans="1:10" ht="18.75" customHeight="1" x14ac:dyDescent="0.35">
      <c r="A218" s="238"/>
      <c r="B218" s="237"/>
      <c r="C218" s="239" t="s">
        <v>4</v>
      </c>
      <c r="D218" s="234"/>
      <c r="E218" s="240"/>
      <c r="F218" s="241"/>
      <c r="G218" s="231"/>
      <c r="H218" s="231"/>
      <c r="I218" s="231"/>
      <c r="J218" s="231"/>
    </row>
    <row r="219" spans="1:10" ht="18.75" customHeight="1" x14ac:dyDescent="0.35">
      <c r="A219" s="263"/>
      <c r="B219" s="217"/>
      <c r="C219" s="223" t="s">
        <v>3</v>
      </c>
      <c r="D219" s="234"/>
      <c r="E219" s="225"/>
      <c r="F219" s="226"/>
      <c r="G219" s="231"/>
      <c r="H219" s="231"/>
      <c r="I219" s="231"/>
      <c r="J219" s="231"/>
    </row>
    <row r="220" spans="1:10" ht="18.75" customHeight="1" x14ac:dyDescent="0.35">
      <c r="A220" s="264">
        <v>1</v>
      </c>
      <c r="B220" s="265">
        <v>12012703</v>
      </c>
      <c r="C220" s="228" t="s">
        <v>216</v>
      </c>
      <c r="D220" s="206">
        <v>20</v>
      </c>
      <c r="E220" s="229">
        <v>0.25</v>
      </c>
      <c r="F220" s="230">
        <v>0</v>
      </c>
      <c r="G220" s="231" t="s">
        <v>585</v>
      </c>
      <c r="H220" s="231"/>
      <c r="I220" s="231" t="s">
        <v>5</v>
      </c>
      <c r="J220" s="231" t="s">
        <v>4</v>
      </c>
    </row>
    <row r="221" spans="1:10" ht="18.75" customHeight="1" x14ac:dyDescent="0.35">
      <c r="A221" s="264">
        <v>2</v>
      </c>
      <c r="B221" s="265">
        <v>12012701</v>
      </c>
      <c r="C221" s="228" t="s">
        <v>218</v>
      </c>
      <c r="D221" s="206">
        <v>12</v>
      </c>
      <c r="E221" s="229">
        <v>0.45</v>
      </c>
      <c r="F221" s="230">
        <v>0</v>
      </c>
      <c r="G221" s="231" t="s">
        <v>586</v>
      </c>
      <c r="H221" s="231"/>
      <c r="I221" s="231" t="s">
        <v>5</v>
      </c>
      <c r="J221" s="231" t="s">
        <v>4</v>
      </c>
    </row>
    <row r="222" spans="1:10" ht="18.75" customHeight="1" x14ac:dyDescent="0.35">
      <c r="A222" s="264">
        <v>3</v>
      </c>
      <c r="B222" s="265">
        <v>12012702</v>
      </c>
      <c r="C222" s="228" t="s">
        <v>217</v>
      </c>
      <c r="D222" s="206">
        <v>5</v>
      </c>
      <c r="E222" s="229">
        <v>1</v>
      </c>
      <c r="F222" s="230">
        <v>0</v>
      </c>
      <c r="G222" s="231" t="s">
        <v>587</v>
      </c>
      <c r="H222" s="231"/>
      <c r="I222" s="231" t="s">
        <v>5</v>
      </c>
      <c r="J222" s="231" t="s">
        <v>4</v>
      </c>
    </row>
  </sheetData>
  <autoFilter ref="A2:E222" xr:uid="{898F2C2F-BA21-4F6C-B7C2-150BEAD3346E}"/>
  <printOptions horizontalCentered="1"/>
  <pageMargins left="0" right="0" top="0" bottom="0" header="0.51180555555555596" footer="0.51180555555555596"/>
  <pageSetup paperSize="9" scale="68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0FF-92BA-4178-A791-092B7E5DB915}">
  <sheetPr codeName="Sheet2">
    <tabColor rgb="FFC00000"/>
    <pageSetUpPr fitToPage="1"/>
  </sheetPr>
  <dimension ref="A1:N233"/>
  <sheetViews>
    <sheetView showGridLines="0" topLeftCell="A2" zoomScale="70" zoomScaleNormal="70" workbookViewId="0">
      <pane xSplit="3" ySplit="5" topLeftCell="D208" activePane="bottomRight" state="frozen"/>
      <selection activeCell="A2" sqref="A2"/>
      <selection pane="topRight" activeCell="D2" sqref="D2"/>
      <selection pane="bottomLeft" activeCell="A9" sqref="A9"/>
      <selection pane="bottomRight" activeCell="F219" sqref="F219"/>
    </sheetView>
  </sheetViews>
  <sheetFormatPr defaultColWidth="9.1796875" defaultRowHeight="15.5" outlineLevelCol="1" x14ac:dyDescent="0.35"/>
  <cols>
    <col min="1" max="1" width="5.81640625" style="1" customWidth="1"/>
    <col min="2" max="2" width="17.1796875" style="1" customWidth="1"/>
    <col min="3" max="3" width="49.81640625" style="1" customWidth="1"/>
    <col min="4" max="4" width="12.81640625" style="1" customWidth="1"/>
    <col min="5" max="6" width="12.81640625" style="1" customWidth="1" outlineLevel="1"/>
    <col min="7" max="8" width="12.81640625" style="1" customWidth="1"/>
    <col min="9" max="9" width="14.1796875" style="1" customWidth="1"/>
    <col min="10" max="11" width="9.1796875" style="1"/>
    <col min="12" max="12" width="12" style="1" bestFit="1" customWidth="1"/>
    <col min="13" max="16384" width="9.1796875" style="1"/>
  </cols>
  <sheetData>
    <row r="1" spans="1:10" s="179" customFormat="1" ht="53.25" customHeight="1" x14ac:dyDescent="0.4">
      <c r="A1" s="180"/>
      <c r="H1" s="1"/>
      <c r="I1" s="1"/>
    </row>
    <row r="2" spans="1:10" ht="21" customHeight="1" x14ac:dyDescent="0.5">
      <c r="A2" s="178" t="s">
        <v>199</v>
      </c>
      <c r="B2" s="178"/>
      <c r="C2" s="178"/>
      <c r="D2" s="178"/>
      <c r="E2" s="178"/>
      <c r="F2" s="178"/>
      <c r="G2" s="178"/>
      <c r="H2" s="178"/>
      <c r="I2" s="178"/>
    </row>
    <row r="3" spans="1:10" ht="21" customHeight="1" x14ac:dyDescent="0.5">
      <c r="A3" s="177" t="s">
        <v>198</v>
      </c>
      <c r="B3" s="177"/>
      <c r="C3" s="177"/>
      <c r="D3" s="177"/>
      <c r="E3" s="177"/>
      <c r="F3" s="177"/>
      <c r="G3" s="177"/>
      <c r="H3" s="177"/>
      <c r="I3" s="177"/>
    </row>
    <row r="4" spans="1:10" ht="15" customHeight="1" x14ac:dyDescent="0.35">
      <c r="A4" s="176"/>
      <c r="B4" s="176"/>
      <c r="C4" s="176"/>
      <c r="D4" s="176"/>
      <c r="E4" s="176"/>
      <c r="F4" s="176"/>
      <c r="G4" s="175"/>
      <c r="H4" s="175"/>
      <c r="I4" s="175"/>
    </row>
    <row r="5" spans="1:10" s="88" customFormat="1" ht="28.5" customHeight="1" x14ac:dyDescent="0.35">
      <c r="A5" s="181" t="s">
        <v>197</v>
      </c>
      <c r="B5" s="182" t="s">
        <v>196</v>
      </c>
      <c r="C5" s="181" t="s">
        <v>195</v>
      </c>
      <c r="D5" s="181" t="s">
        <v>194</v>
      </c>
      <c r="E5" s="181"/>
      <c r="F5" s="181"/>
      <c r="G5" s="182" t="s">
        <v>193</v>
      </c>
      <c r="H5" s="182"/>
      <c r="I5" s="182"/>
      <c r="J5" s="182"/>
    </row>
    <row r="6" spans="1:10" s="88" customFormat="1" ht="16" customHeight="1" x14ac:dyDescent="0.35">
      <c r="A6" s="173"/>
      <c r="B6" s="174"/>
      <c r="C6" s="173"/>
      <c r="D6" s="171" t="s">
        <v>192</v>
      </c>
      <c r="E6" s="171" t="s">
        <v>191</v>
      </c>
      <c r="F6" s="171" t="s">
        <v>190</v>
      </c>
      <c r="G6" s="172" t="s">
        <v>189</v>
      </c>
      <c r="H6" s="171" t="s">
        <v>188</v>
      </c>
      <c r="I6" s="171" t="s">
        <v>187</v>
      </c>
      <c r="J6" s="203" t="s">
        <v>186</v>
      </c>
    </row>
    <row r="7" spans="1:10" s="170" customFormat="1" ht="24" customHeight="1" x14ac:dyDescent="0.4">
      <c r="A7" s="169"/>
      <c r="B7" s="169"/>
      <c r="C7" s="77" t="s">
        <v>185</v>
      </c>
      <c r="D7" s="169"/>
      <c r="E7" s="169"/>
      <c r="F7" s="169"/>
      <c r="G7" s="168"/>
      <c r="H7" s="168"/>
      <c r="I7" s="183"/>
      <c r="J7" s="183"/>
    </row>
    <row r="8" spans="1:10" s="170" customFormat="1" ht="24" customHeight="1" x14ac:dyDescent="0.35">
      <c r="A8" s="154"/>
      <c r="B8" s="154"/>
      <c r="C8" s="155" t="s">
        <v>4</v>
      </c>
      <c r="D8" s="154"/>
      <c r="E8" s="154"/>
      <c r="F8" s="154"/>
      <c r="G8" s="153"/>
      <c r="H8" s="153"/>
      <c r="I8" s="184"/>
      <c r="J8" s="184"/>
    </row>
    <row r="9" spans="1:10" ht="18.75" customHeight="1" x14ac:dyDescent="0.35">
      <c r="A9" s="53">
        <v>1</v>
      </c>
      <c r="B9" s="53">
        <v>12060402</v>
      </c>
      <c r="C9" s="93" t="s">
        <v>184</v>
      </c>
      <c r="D9" s="54">
        <v>500</v>
      </c>
      <c r="E9" s="54">
        <v>10</v>
      </c>
      <c r="F9" s="94">
        <v>5</v>
      </c>
      <c r="G9" s="54">
        <v>55925</v>
      </c>
      <c r="H9" s="54">
        <v>111850</v>
      </c>
      <c r="I9" s="158">
        <v>559250</v>
      </c>
      <c r="J9" s="204">
        <f t="shared" ref="J9:J17" si="0">D9/1000</f>
        <v>0.5</v>
      </c>
    </row>
    <row r="10" spans="1:10" ht="18.75" customHeight="1" x14ac:dyDescent="0.35">
      <c r="A10" s="53">
        <v>2</v>
      </c>
      <c r="B10" s="53">
        <v>12040406</v>
      </c>
      <c r="C10" s="93" t="s">
        <v>183</v>
      </c>
      <c r="D10" s="54">
        <v>500</v>
      </c>
      <c r="E10" s="54">
        <v>10</v>
      </c>
      <c r="F10" s="94">
        <v>5</v>
      </c>
      <c r="G10" s="54">
        <v>57575</v>
      </c>
      <c r="H10" s="54">
        <v>115150</v>
      </c>
      <c r="I10" s="158">
        <v>575750</v>
      </c>
      <c r="J10" s="204">
        <f t="shared" si="0"/>
        <v>0.5</v>
      </c>
    </row>
    <row r="11" spans="1:10" ht="18.75" customHeight="1" x14ac:dyDescent="0.35">
      <c r="A11" s="53">
        <v>3</v>
      </c>
      <c r="B11" s="53">
        <v>12010402</v>
      </c>
      <c r="C11" s="93" t="s">
        <v>182</v>
      </c>
      <c r="D11" s="54">
        <v>500</v>
      </c>
      <c r="E11" s="54">
        <v>10</v>
      </c>
      <c r="F11" s="94">
        <v>5</v>
      </c>
      <c r="G11" s="54">
        <v>52200</v>
      </c>
      <c r="H11" s="54">
        <v>104400</v>
      </c>
      <c r="I11" s="158">
        <v>522000</v>
      </c>
      <c r="J11" s="204">
        <f t="shared" si="0"/>
        <v>0.5</v>
      </c>
    </row>
    <row r="12" spans="1:10" ht="18.75" customHeight="1" x14ac:dyDescent="0.35">
      <c r="A12" s="53">
        <v>4</v>
      </c>
      <c r="B12" s="53">
        <v>12030403</v>
      </c>
      <c r="C12" s="93" t="s">
        <v>181</v>
      </c>
      <c r="D12" s="54">
        <v>500</v>
      </c>
      <c r="E12" s="54">
        <v>10</v>
      </c>
      <c r="F12" s="94">
        <v>5</v>
      </c>
      <c r="G12" s="54">
        <v>53675</v>
      </c>
      <c r="H12" s="54">
        <v>107350</v>
      </c>
      <c r="I12" s="158">
        <v>536750</v>
      </c>
      <c r="J12" s="204">
        <f t="shared" si="0"/>
        <v>0.5</v>
      </c>
    </row>
    <row r="13" spans="1:10" ht="18.75" customHeight="1" x14ac:dyDescent="0.35">
      <c r="A13" s="53">
        <v>5</v>
      </c>
      <c r="B13" s="53">
        <v>12020401</v>
      </c>
      <c r="C13" s="93" t="s">
        <v>180</v>
      </c>
      <c r="D13" s="54">
        <v>500</v>
      </c>
      <c r="E13" s="54">
        <v>10</v>
      </c>
      <c r="F13" s="94">
        <v>5</v>
      </c>
      <c r="G13" s="54">
        <v>73375</v>
      </c>
      <c r="H13" s="54">
        <v>146750</v>
      </c>
      <c r="I13" s="158">
        <v>733750</v>
      </c>
      <c r="J13" s="204">
        <f t="shared" si="0"/>
        <v>0.5</v>
      </c>
    </row>
    <row r="14" spans="1:10" ht="18.75" customHeight="1" x14ac:dyDescent="0.35">
      <c r="A14" s="53">
        <v>6</v>
      </c>
      <c r="B14" s="53">
        <v>12170402</v>
      </c>
      <c r="C14" s="93" t="s">
        <v>179</v>
      </c>
      <c r="D14" s="54">
        <v>500</v>
      </c>
      <c r="E14" s="54">
        <v>10</v>
      </c>
      <c r="F14" s="94">
        <v>5</v>
      </c>
      <c r="G14" s="54">
        <v>56950</v>
      </c>
      <c r="H14" s="54">
        <v>113900</v>
      </c>
      <c r="I14" s="158">
        <v>569500</v>
      </c>
      <c r="J14" s="204">
        <f t="shared" si="0"/>
        <v>0.5</v>
      </c>
    </row>
    <row r="15" spans="1:10" ht="18.75" customHeight="1" x14ac:dyDescent="0.35">
      <c r="A15" s="53">
        <v>7</v>
      </c>
      <c r="B15" s="53">
        <v>12040404</v>
      </c>
      <c r="C15" s="93" t="s">
        <v>178</v>
      </c>
      <c r="D15" s="54">
        <v>500</v>
      </c>
      <c r="E15" s="54">
        <v>10</v>
      </c>
      <c r="F15" s="94">
        <v>5</v>
      </c>
      <c r="G15" s="54">
        <v>73425</v>
      </c>
      <c r="H15" s="54">
        <v>146850</v>
      </c>
      <c r="I15" s="158">
        <v>734250</v>
      </c>
      <c r="J15" s="204">
        <f t="shared" si="0"/>
        <v>0.5</v>
      </c>
    </row>
    <row r="16" spans="1:10" ht="18.75" customHeight="1" x14ac:dyDescent="0.35">
      <c r="A16" s="53">
        <v>8</v>
      </c>
      <c r="B16" s="81">
        <v>12040403</v>
      </c>
      <c r="C16" s="52" t="s">
        <v>177</v>
      </c>
      <c r="D16" s="54">
        <v>500</v>
      </c>
      <c r="E16" s="54">
        <v>10</v>
      </c>
      <c r="F16" s="94">
        <v>5</v>
      </c>
      <c r="G16" s="54">
        <v>59450</v>
      </c>
      <c r="H16" s="54">
        <v>118900</v>
      </c>
      <c r="I16" s="158">
        <v>594500</v>
      </c>
      <c r="J16" s="204">
        <f t="shared" si="0"/>
        <v>0.5</v>
      </c>
    </row>
    <row r="17" spans="1:10" ht="18.75" customHeight="1" x14ac:dyDescent="0.35">
      <c r="A17" s="53">
        <v>9</v>
      </c>
      <c r="B17" s="81">
        <v>12050401</v>
      </c>
      <c r="C17" s="52" t="s">
        <v>176</v>
      </c>
      <c r="D17" s="54">
        <v>500</v>
      </c>
      <c r="E17" s="54">
        <v>10</v>
      </c>
      <c r="F17" s="94">
        <v>5</v>
      </c>
      <c r="G17" s="54">
        <v>73375</v>
      </c>
      <c r="H17" s="54">
        <v>146750</v>
      </c>
      <c r="I17" s="158">
        <v>733750</v>
      </c>
      <c r="J17" s="204">
        <f t="shared" si="0"/>
        <v>0.5</v>
      </c>
    </row>
    <row r="18" spans="1:10" ht="23.25" customHeight="1" x14ac:dyDescent="0.4">
      <c r="A18" s="169"/>
      <c r="B18" s="169"/>
      <c r="C18" s="77" t="s">
        <v>145</v>
      </c>
      <c r="D18" s="169"/>
      <c r="E18" s="169"/>
      <c r="F18" s="169"/>
      <c r="G18" s="168"/>
      <c r="H18" s="168"/>
      <c r="I18" s="183"/>
      <c r="J18" s="183"/>
    </row>
    <row r="19" spans="1:10" ht="24" customHeight="1" x14ac:dyDescent="0.35">
      <c r="A19" s="154"/>
      <c r="B19" s="154"/>
      <c r="C19" s="155" t="s">
        <v>4</v>
      </c>
      <c r="D19" s="154"/>
      <c r="E19" s="154"/>
      <c r="F19" s="154"/>
      <c r="G19" s="153"/>
      <c r="H19" s="153"/>
      <c r="I19" s="184"/>
      <c r="J19" s="184"/>
    </row>
    <row r="20" spans="1:10" ht="18.75" customHeight="1" x14ac:dyDescent="0.35">
      <c r="A20" s="24">
        <v>1</v>
      </c>
      <c r="B20" s="42">
        <v>12060104</v>
      </c>
      <c r="C20" s="31" t="s">
        <v>175</v>
      </c>
      <c r="D20" s="50">
        <v>400</v>
      </c>
      <c r="E20" s="50">
        <v>12</v>
      </c>
      <c r="F20" s="107">
        <v>4.8</v>
      </c>
      <c r="G20" s="163">
        <v>41900</v>
      </c>
      <c r="H20" s="50">
        <v>104750</v>
      </c>
      <c r="I20" s="185">
        <v>502800</v>
      </c>
      <c r="J20" s="204">
        <f t="shared" ref="J20:J51" si="1">D20/1000</f>
        <v>0.4</v>
      </c>
    </row>
    <row r="21" spans="1:10" ht="18.75" customHeight="1" x14ac:dyDescent="0.35">
      <c r="A21" s="24">
        <v>2</v>
      </c>
      <c r="B21" s="42">
        <v>12060103</v>
      </c>
      <c r="C21" s="31" t="s">
        <v>175</v>
      </c>
      <c r="D21" s="50">
        <v>200</v>
      </c>
      <c r="E21" s="50">
        <v>24</v>
      </c>
      <c r="F21" s="107">
        <v>4.8</v>
      </c>
      <c r="G21" s="163">
        <v>23275</v>
      </c>
      <c r="H21" s="50">
        <v>116375</v>
      </c>
      <c r="I21" s="185">
        <v>558600</v>
      </c>
      <c r="J21" s="204">
        <f t="shared" si="1"/>
        <v>0.2</v>
      </c>
    </row>
    <row r="22" spans="1:10" ht="18.75" customHeight="1" x14ac:dyDescent="0.35">
      <c r="A22" s="24">
        <v>3</v>
      </c>
      <c r="B22" s="167">
        <v>12040101</v>
      </c>
      <c r="C22" s="31" t="s">
        <v>174</v>
      </c>
      <c r="D22" s="165">
        <v>400</v>
      </c>
      <c r="E22" s="164">
        <v>12</v>
      </c>
      <c r="F22" s="107">
        <v>4.8</v>
      </c>
      <c r="G22" s="163">
        <v>42775</v>
      </c>
      <c r="H22" s="50">
        <v>106937.5</v>
      </c>
      <c r="I22" s="185">
        <v>513300</v>
      </c>
      <c r="J22" s="204">
        <f t="shared" si="1"/>
        <v>0.4</v>
      </c>
    </row>
    <row r="23" spans="1:10" ht="18.75" customHeight="1" x14ac:dyDescent="0.35">
      <c r="A23" s="24">
        <v>4</v>
      </c>
      <c r="B23" s="167">
        <v>12010112</v>
      </c>
      <c r="C23" s="31" t="s">
        <v>25</v>
      </c>
      <c r="D23" s="165">
        <v>400</v>
      </c>
      <c r="E23" s="164">
        <v>12</v>
      </c>
      <c r="F23" s="107">
        <v>4.8</v>
      </c>
      <c r="G23" s="163">
        <v>38825</v>
      </c>
      <c r="H23" s="50">
        <v>97062.5</v>
      </c>
      <c r="I23" s="185">
        <v>465900</v>
      </c>
      <c r="J23" s="204">
        <f t="shared" si="1"/>
        <v>0.4</v>
      </c>
    </row>
    <row r="24" spans="1:10" ht="18.75" customHeight="1" x14ac:dyDescent="0.35">
      <c r="A24" s="24">
        <v>5</v>
      </c>
      <c r="B24" s="167">
        <v>12010113</v>
      </c>
      <c r="C24" s="31" t="s">
        <v>25</v>
      </c>
      <c r="D24" s="165">
        <v>200</v>
      </c>
      <c r="E24" s="164">
        <v>24</v>
      </c>
      <c r="F24" s="107">
        <v>4.8</v>
      </c>
      <c r="G24" s="163">
        <v>20825</v>
      </c>
      <c r="H24" s="50">
        <v>104125</v>
      </c>
      <c r="I24" s="185">
        <v>499800</v>
      </c>
      <c r="J24" s="204">
        <f t="shared" si="1"/>
        <v>0.2</v>
      </c>
    </row>
    <row r="25" spans="1:10" ht="18.75" customHeight="1" x14ac:dyDescent="0.35">
      <c r="A25" s="24">
        <v>6</v>
      </c>
      <c r="B25" s="167">
        <v>12030101</v>
      </c>
      <c r="C25" s="31" t="s">
        <v>173</v>
      </c>
      <c r="D25" s="165">
        <v>400</v>
      </c>
      <c r="E25" s="164">
        <v>12</v>
      </c>
      <c r="F25" s="107">
        <v>4.8</v>
      </c>
      <c r="G25" s="163">
        <v>38825</v>
      </c>
      <c r="H25" s="50">
        <v>97062.5</v>
      </c>
      <c r="I25" s="185">
        <v>465900</v>
      </c>
      <c r="J25" s="204">
        <f t="shared" si="1"/>
        <v>0.4</v>
      </c>
    </row>
    <row r="26" spans="1:10" ht="18.75" customHeight="1" x14ac:dyDescent="0.35">
      <c r="A26" s="24">
        <v>7</v>
      </c>
      <c r="B26" s="167">
        <v>12030102</v>
      </c>
      <c r="C26" s="31" t="s">
        <v>173</v>
      </c>
      <c r="D26" s="165">
        <v>200</v>
      </c>
      <c r="E26" s="164">
        <v>24</v>
      </c>
      <c r="F26" s="107">
        <v>4.8</v>
      </c>
      <c r="G26" s="163">
        <v>20825</v>
      </c>
      <c r="H26" s="50">
        <v>104125</v>
      </c>
      <c r="I26" s="185">
        <v>499800</v>
      </c>
      <c r="J26" s="204">
        <f t="shared" si="1"/>
        <v>0.2</v>
      </c>
    </row>
    <row r="27" spans="1:10" ht="18.75" customHeight="1" x14ac:dyDescent="0.35">
      <c r="A27" s="24">
        <v>8</v>
      </c>
      <c r="B27" s="42">
        <v>12050103</v>
      </c>
      <c r="C27" s="31" t="s">
        <v>172</v>
      </c>
      <c r="D27" s="50">
        <v>400</v>
      </c>
      <c r="E27" s="50">
        <v>12</v>
      </c>
      <c r="F27" s="107">
        <v>4.8</v>
      </c>
      <c r="G27" s="163">
        <v>35850</v>
      </c>
      <c r="H27" s="50">
        <v>89625</v>
      </c>
      <c r="I27" s="185">
        <v>430200</v>
      </c>
      <c r="J27" s="204">
        <f t="shared" si="1"/>
        <v>0.4</v>
      </c>
    </row>
    <row r="28" spans="1:10" ht="17.25" customHeight="1" x14ac:dyDescent="0.35">
      <c r="A28" s="24">
        <v>9</v>
      </c>
      <c r="B28" s="162">
        <v>12080101</v>
      </c>
      <c r="C28" s="52" t="s">
        <v>171</v>
      </c>
      <c r="D28" s="54">
        <v>400</v>
      </c>
      <c r="E28" s="54">
        <v>12</v>
      </c>
      <c r="F28" s="94">
        <v>4.8</v>
      </c>
      <c r="G28" s="54">
        <v>39300</v>
      </c>
      <c r="H28" s="54">
        <v>98250</v>
      </c>
      <c r="I28" s="158">
        <v>471600</v>
      </c>
      <c r="J28" s="204">
        <f t="shared" si="1"/>
        <v>0.4</v>
      </c>
    </row>
    <row r="29" spans="1:10" ht="18" customHeight="1" x14ac:dyDescent="0.35">
      <c r="A29" s="24">
        <v>10</v>
      </c>
      <c r="B29" s="53">
        <v>12020102</v>
      </c>
      <c r="C29" s="52" t="s">
        <v>170</v>
      </c>
      <c r="D29" s="54">
        <v>400</v>
      </c>
      <c r="E29" s="54">
        <v>12</v>
      </c>
      <c r="F29" s="94">
        <v>4.8</v>
      </c>
      <c r="G29" s="54">
        <v>51550</v>
      </c>
      <c r="H29" s="54">
        <v>128875</v>
      </c>
      <c r="I29" s="158">
        <v>618600</v>
      </c>
      <c r="J29" s="204">
        <f t="shared" si="1"/>
        <v>0.4</v>
      </c>
    </row>
    <row r="30" spans="1:10" ht="18.75" customHeight="1" x14ac:dyDescent="0.35">
      <c r="A30" s="24">
        <v>11</v>
      </c>
      <c r="B30" s="53">
        <v>12010117</v>
      </c>
      <c r="C30" s="52" t="s">
        <v>169</v>
      </c>
      <c r="D30" s="54">
        <v>400</v>
      </c>
      <c r="E30" s="54">
        <v>12</v>
      </c>
      <c r="F30" s="94">
        <v>4.8</v>
      </c>
      <c r="G30" s="54">
        <v>40925</v>
      </c>
      <c r="H30" s="54">
        <v>102312.5</v>
      </c>
      <c r="I30" s="158">
        <v>491100</v>
      </c>
      <c r="J30" s="204">
        <f t="shared" si="1"/>
        <v>0.4</v>
      </c>
    </row>
    <row r="31" spans="1:10" ht="18.75" customHeight="1" x14ac:dyDescent="0.35">
      <c r="A31" s="24">
        <v>12</v>
      </c>
      <c r="B31" s="53">
        <v>12010116</v>
      </c>
      <c r="C31" s="52" t="s">
        <v>168</v>
      </c>
      <c r="D31" s="54">
        <v>400</v>
      </c>
      <c r="E31" s="54">
        <v>12</v>
      </c>
      <c r="F31" s="94">
        <v>4.8</v>
      </c>
      <c r="G31" s="54">
        <v>40900</v>
      </c>
      <c r="H31" s="54">
        <v>102250</v>
      </c>
      <c r="I31" s="158">
        <v>490800</v>
      </c>
      <c r="J31" s="204">
        <f t="shared" si="1"/>
        <v>0.4</v>
      </c>
    </row>
    <row r="32" spans="1:10" ht="18.75" customHeight="1" x14ac:dyDescent="0.35">
      <c r="A32" s="24">
        <v>13</v>
      </c>
      <c r="B32" s="167">
        <v>12070101</v>
      </c>
      <c r="C32" s="166" t="s">
        <v>167</v>
      </c>
      <c r="D32" s="165">
        <v>400</v>
      </c>
      <c r="E32" s="164">
        <v>12</v>
      </c>
      <c r="F32" s="107">
        <v>4.8</v>
      </c>
      <c r="G32" s="163">
        <v>42225</v>
      </c>
      <c r="H32" s="50">
        <v>105562.5</v>
      </c>
      <c r="I32" s="186">
        <v>506700</v>
      </c>
      <c r="J32" s="204">
        <f t="shared" si="1"/>
        <v>0.4</v>
      </c>
    </row>
    <row r="33" spans="1:10" ht="18.75" customHeight="1" x14ac:dyDescent="0.35">
      <c r="A33" s="24">
        <v>14</v>
      </c>
      <c r="B33" s="53">
        <v>12150201</v>
      </c>
      <c r="C33" s="52" t="s">
        <v>166</v>
      </c>
      <c r="D33" s="54">
        <v>300</v>
      </c>
      <c r="E33" s="54">
        <v>10</v>
      </c>
      <c r="F33" s="94">
        <v>3</v>
      </c>
      <c r="G33" s="54">
        <v>25275</v>
      </c>
      <c r="H33" s="54">
        <v>84250</v>
      </c>
      <c r="I33" s="158">
        <v>252750</v>
      </c>
      <c r="J33" s="204">
        <f t="shared" si="1"/>
        <v>0.3</v>
      </c>
    </row>
    <row r="34" spans="1:10" ht="18.75" customHeight="1" x14ac:dyDescent="0.35">
      <c r="A34" s="24">
        <v>15</v>
      </c>
      <c r="B34" s="53">
        <v>12140105</v>
      </c>
      <c r="C34" s="52" t="s">
        <v>129</v>
      </c>
      <c r="D34" s="54">
        <v>400</v>
      </c>
      <c r="E34" s="54">
        <v>12</v>
      </c>
      <c r="F34" s="94">
        <v>4.8</v>
      </c>
      <c r="G34" s="54">
        <v>33025</v>
      </c>
      <c r="H34" s="54">
        <v>82562.5</v>
      </c>
      <c r="I34" s="158">
        <v>396300</v>
      </c>
      <c r="J34" s="204">
        <f t="shared" si="1"/>
        <v>0.4</v>
      </c>
    </row>
    <row r="35" spans="1:10" ht="18.75" customHeight="1" x14ac:dyDescent="0.35">
      <c r="A35" s="24">
        <v>16</v>
      </c>
      <c r="B35" s="53">
        <v>12010119</v>
      </c>
      <c r="C35" s="52" t="s">
        <v>165</v>
      </c>
      <c r="D35" s="54">
        <v>400</v>
      </c>
      <c r="E35" s="54">
        <v>12</v>
      </c>
      <c r="F35" s="94">
        <v>4.8</v>
      </c>
      <c r="G35" s="54">
        <v>38950</v>
      </c>
      <c r="H35" s="54">
        <v>97375</v>
      </c>
      <c r="I35" s="158">
        <v>467400</v>
      </c>
      <c r="J35" s="204">
        <f t="shared" si="1"/>
        <v>0.4</v>
      </c>
    </row>
    <row r="36" spans="1:10" ht="18.75" customHeight="1" x14ac:dyDescent="0.35">
      <c r="A36" s="24">
        <v>17</v>
      </c>
      <c r="B36" s="53">
        <v>12010121</v>
      </c>
      <c r="C36" s="52" t="s">
        <v>164</v>
      </c>
      <c r="D36" s="54">
        <v>400</v>
      </c>
      <c r="E36" s="54">
        <v>12</v>
      </c>
      <c r="F36" s="94">
        <v>4.8</v>
      </c>
      <c r="G36" s="54">
        <v>38950</v>
      </c>
      <c r="H36" s="54">
        <v>97375</v>
      </c>
      <c r="I36" s="158">
        <v>467400</v>
      </c>
      <c r="J36" s="204">
        <f t="shared" si="1"/>
        <v>0.4</v>
      </c>
    </row>
    <row r="37" spans="1:10" ht="18.75" customHeight="1" x14ac:dyDescent="0.35">
      <c r="A37" s="24">
        <v>18</v>
      </c>
      <c r="B37" s="53">
        <v>12010115</v>
      </c>
      <c r="C37" s="52" t="s">
        <v>163</v>
      </c>
      <c r="D37" s="54">
        <v>400</v>
      </c>
      <c r="E37" s="54">
        <v>12</v>
      </c>
      <c r="F37" s="94">
        <v>4.8</v>
      </c>
      <c r="G37" s="54">
        <v>38950</v>
      </c>
      <c r="H37" s="54">
        <v>97375</v>
      </c>
      <c r="I37" s="158">
        <v>467400</v>
      </c>
      <c r="J37" s="204">
        <f t="shared" si="1"/>
        <v>0.4</v>
      </c>
    </row>
    <row r="38" spans="1:10" ht="18.75" customHeight="1" x14ac:dyDescent="0.35">
      <c r="A38" s="24">
        <v>19</v>
      </c>
      <c r="B38" s="162">
        <v>12190103</v>
      </c>
      <c r="C38" s="52" t="s">
        <v>162</v>
      </c>
      <c r="D38" s="54">
        <v>400</v>
      </c>
      <c r="E38" s="54">
        <v>12</v>
      </c>
      <c r="F38" s="94">
        <v>4.8</v>
      </c>
      <c r="G38" s="54">
        <v>53000</v>
      </c>
      <c r="H38" s="54">
        <v>132500</v>
      </c>
      <c r="I38" s="158">
        <v>636000</v>
      </c>
      <c r="J38" s="204">
        <f t="shared" si="1"/>
        <v>0.4</v>
      </c>
    </row>
    <row r="39" spans="1:10" ht="18.75" customHeight="1" x14ac:dyDescent="0.35">
      <c r="A39" s="24">
        <v>20</v>
      </c>
      <c r="B39" s="53">
        <v>12010124</v>
      </c>
      <c r="C39" s="52" t="s">
        <v>161</v>
      </c>
      <c r="D39" s="54">
        <v>400</v>
      </c>
      <c r="E39" s="54">
        <v>12</v>
      </c>
      <c r="F39" s="94">
        <v>4.8</v>
      </c>
      <c r="G39" s="54">
        <v>50150</v>
      </c>
      <c r="H39" s="54">
        <v>125375</v>
      </c>
      <c r="I39" s="158">
        <v>601800</v>
      </c>
      <c r="J39" s="204">
        <f t="shared" si="1"/>
        <v>0.4</v>
      </c>
    </row>
    <row r="40" spans="1:10" ht="18.75" customHeight="1" x14ac:dyDescent="0.35">
      <c r="A40" s="24">
        <v>21</v>
      </c>
      <c r="B40" s="81">
        <v>16060120</v>
      </c>
      <c r="C40" s="52" t="s">
        <v>160</v>
      </c>
      <c r="D40" s="54">
        <v>400</v>
      </c>
      <c r="E40" s="54">
        <v>12</v>
      </c>
      <c r="F40" s="94">
        <v>4.8</v>
      </c>
      <c r="G40" s="54">
        <v>47100</v>
      </c>
      <c r="H40" s="54">
        <v>117750</v>
      </c>
      <c r="I40" s="158">
        <v>565200</v>
      </c>
      <c r="J40" s="204">
        <f t="shared" si="1"/>
        <v>0.4</v>
      </c>
    </row>
    <row r="41" spans="1:10" ht="18.75" customHeight="1" x14ac:dyDescent="0.35">
      <c r="A41" s="24">
        <v>22</v>
      </c>
      <c r="B41" s="81">
        <v>12010122</v>
      </c>
      <c r="C41" s="52" t="s">
        <v>159</v>
      </c>
      <c r="D41" s="54">
        <v>400</v>
      </c>
      <c r="E41" s="54">
        <v>12</v>
      </c>
      <c r="F41" s="94">
        <v>4.8</v>
      </c>
      <c r="G41" s="54">
        <v>50150</v>
      </c>
      <c r="H41" s="54">
        <v>125375</v>
      </c>
      <c r="I41" s="158">
        <v>601800</v>
      </c>
      <c r="J41" s="204">
        <f t="shared" si="1"/>
        <v>0.4</v>
      </c>
    </row>
    <row r="42" spans="1:10" ht="18.75" customHeight="1" x14ac:dyDescent="0.35">
      <c r="A42" s="24">
        <v>23</v>
      </c>
      <c r="B42" s="81">
        <v>12130102</v>
      </c>
      <c r="C42" s="52" t="s">
        <v>158</v>
      </c>
      <c r="D42" s="54">
        <v>360</v>
      </c>
      <c r="E42" s="54">
        <v>20</v>
      </c>
      <c r="F42" s="94">
        <v>7.2</v>
      </c>
      <c r="G42" s="54">
        <v>34970</v>
      </c>
      <c r="H42" s="54">
        <v>97138.888888888891</v>
      </c>
      <c r="I42" s="187">
        <v>699400</v>
      </c>
      <c r="J42" s="204">
        <f t="shared" si="1"/>
        <v>0.36</v>
      </c>
    </row>
    <row r="43" spans="1:10" ht="18.75" customHeight="1" x14ac:dyDescent="0.35">
      <c r="A43" s="24">
        <v>24</v>
      </c>
      <c r="B43" s="81">
        <v>12010125</v>
      </c>
      <c r="C43" s="52" t="s">
        <v>157</v>
      </c>
      <c r="D43" s="54">
        <v>400</v>
      </c>
      <c r="E43" s="54">
        <v>12</v>
      </c>
      <c r="F43" s="94">
        <v>4.8</v>
      </c>
      <c r="G43" s="54">
        <v>50150</v>
      </c>
      <c r="H43" s="54">
        <v>125375</v>
      </c>
      <c r="I43" s="188">
        <v>601800</v>
      </c>
      <c r="J43" s="204">
        <f t="shared" si="1"/>
        <v>0.4</v>
      </c>
    </row>
    <row r="44" spans="1:10" ht="18.75" customHeight="1" x14ac:dyDescent="0.35">
      <c r="A44" s="24">
        <v>25</v>
      </c>
      <c r="B44" s="161">
        <v>12010126</v>
      </c>
      <c r="C44" s="27" t="s">
        <v>156</v>
      </c>
      <c r="D44" s="54">
        <v>400</v>
      </c>
      <c r="E44" s="54">
        <v>12</v>
      </c>
      <c r="F44" s="94">
        <v>4.8</v>
      </c>
      <c r="G44" s="54">
        <v>48050</v>
      </c>
      <c r="H44" s="160">
        <v>120125</v>
      </c>
      <c r="I44" s="189">
        <v>576600</v>
      </c>
      <c r="J44" s="204">
        <f t="shared" si="1"/>
        <v>0.4</v>
      </c>
    </row>
    <row r="45" spans="1:10" ht="18.75" customHeight="1" x14ac:dyDescent="0.35">
      <c r="A45" s="24">
        <v>26</v>
      </c>
      <c r="B45" s="159">
        <v>12010128</v>
      </c>
      <c r="C45" s="22" t="s">
        <v>155</v>
      </c>
      <c r="D45" s="54">
        <v>400</v>
      </c>
      <c r="E45" s="54">
        <v>12</v>
      </c>
      <c r="F45" s="94">
        <v>4.8</v>
      </c>
      <c r="G45" s="54">
        <v>43925</v>
      </c>
      <c r="H45" s="158">
        <v>109812.5</v>
      </c>
      <c r="I45" s="189">
        <v>527100</v>
      </c>
      <c r="J45" s="204">
        <f t="shared" si="1"/>
        <v>0.4</v>
      </c>
    </row>
    <row r="46" spans="1:10" ht="18.75" customHeight="1" x14ac:dyDescent="0.35">
      <c r="A46" s="24">
        <v>27</v>
      </c>
      <c r="B46" s="86">
        <v>12010127</v>
      </c>
      <c r="C46" s="22" t="s">
        <v>154</v>
      </c>
      <c r="D46" s="54">
        <v>400</v>
      </c>
      <c r="E46" s="54">
        <v>12</v>
      </c>
      <c r="F46" s="94">
        <v>4.8</v>
      </c>
      <c r="G46" s="54">
        <v>38825</v>
      </c>
      <c r="H46" s="158">
        <v>97062.5</v>
      </c>
      <c r="I46" s="189">
        <v>465900</v>
      </c>
      <c r="J46" s="204">
        <f t="shared" si="1"/>
        <v>0.4</v>
      </c>
    </row>
    <row r="47" spans="1:10" ht="18.75" customHeight="1" x14ac:dyDescent="0.35">
      <c r="A47" s="24">
        <v>28</v>
      </c>
      <c r="B47" s="86">
        <v>12060105</v>
      </c>
      <c r="C47" s="22" t="s">
        <v>153</v>
      </c>
      <c r="D47" s="47">
        <v>400</v>
      </c>
      <c r="E47" s="47">
        <v>12</v>
      </c>
      <c r="F47" s="94">
        <v>4.8</v>
      </c>
      <c r="G47" s="47">
        <v>41900</v>
      </c>
      <c r="H47" s="47">
        <v>104750</v>
      </c>
      <c r="I47" s="189">
        <v>502800</v>
      </c>
      <c r="J47" s="204">
        <f t="shared" si="1"/>
        <v>0.4</v>
      </c>
    </row>
    <row r="48" spans="1:10" ht="18.75" customHeight="1" x14ac:dyDescent="0.35">
      <c r="A48" s="24">
        <v>29</v>
      </c>
      <c r="B48" s="86">
        <v>12010123</v>
      </c>
      <c r="C48" s="22" t="s">
        <v>152</v>
      </c>
      <c r="D48" s="54">
        <v>400</v>
      </c>
      <c r="E48" s="54">
        <v>12</v>
      </c>
      <c r="F48" s="94">
        <v>4.8</v>
      </c>
      <c r="G48" s="54">
        <v>48050</v>
      </c>
      <c r="H48" s="47">
        <v>120125</v>
      </c>
      <c r="I48" s="189">
        <v>576600</v>
      </c>
      <c r="J48" s="204">
        <f t="shared" si="1"/>
        <v>0.4</v>
      </c>
    </row>
    <row r="49" spans="1:10" ht="18.75" customHeight="1" x14ac:dyDescent="0.35">
      <c r="A49" s="24">
        <v>30</v>
      </c>
      <c r="B49" s="23">
        <v>12050104</v>
      </c>
      <c r="C49" s="22" t="s">
        <v>151</v>
      </c>
      <c r="D49" s="47">
        <v>400</v>
      </c>
      <c r="E49" s="47">
        <v>12</v>
      </c>
      <c r="F49" s="108">
        <v>4.8</v>
      </c>
      <c r="G49" s="47">
        <v>35850</v>
      </c>
      <c r="H49" s="47">
        <v>89625</v>
      </c>
      <c r="I49" s="189">
        <v>430200</v>
      </c>
      <c r="J49" s="204">
        <f t="shared" si="1"/>
        <v>0.4</v>
      </c>
    </row>
    <row r="50" spans="1:10" ht="18.75" customHeight="1" x14ac:dyDescent="0.35">
      <c r="A50" s="24">
        <v>31</v>
      </c>
      <c r="B50" s="23">
        <v>12010111</v>
      </c>
      <c r="C50" s="22" t="s">
        <v>150</v>
      </c>
      <c r="D50" s="156">
        <v>400</v>
      </c>
      <c r="E50" s="47">
        <v>12</v>
      </c>
      <c r="F50" s="108">
        <v>4.8</v>
      </c>
      <c r="G50" s="47">
        <v>34400</v>
      </c>
      <c r="H50" s="47">
        <v>86000</v>
      </c>
      <c r="I50" s="189">
        <v>412800</v>
      </c>
      <c r="J50" s="204">
        <f t="shared" si="1"/>
        <v>0.4</v>
      </c>
    </row>
    <row r="51" spans="1:10" ht="18.75" customHeight="1" x14ac:dyDescent="0.35">
      <c r="A51" s="24">
        <v>32</v>
      </c>
      <c r="B51" s="110">
        <v>12040102</v>
      </c>
      <c r="C51" s="157" t="s">
        <v>149</v>
      </c>
      <c r="D51" s="156">
        <v>400</v>
      </c>
      <c r="E51" s="47">
        <v>12</v>
      </c>
      <c r="F51" s="108">
        <v>4.8</v>
      </c>
      <c r="G51" s="47">
        <v>47800</v>
      </c>
      <c r="H51" s="47">
        <v>119500</v>
      </c>
      <c r="I51" s="189">
        <v>573600</v>
      </c>
      <c r="J51" s="204">
        <f t="shared" si="1"/>
        <v>0.4</v>
      </c>
    </row>
    <row r="52" spans="1:10" ht="18.75" customHeight="1" x14ac:dyDescent="0.35">
      <c r="A52" s="53">
        <v>33</v>
      </c>
      <c r="B52" s="110">
        <v>12010129</v>
      </c>
      <c r="C52" s="157" t="s">
        <v>148</v>
      </c>
      <c r="D52" s="156">
        <v>400</v>
      </c>
      <c r="E52" s="47">
        <v>12</v>
      </c>
      <c r="F52" s="108">
        <v>4.8</v>
      </c>
      <c r="G52" s="47">
        <v>39475</v>
      </c>
      <c r="H52" s="47">
        <v>98687.5</v>
      </c>
      <c r="I52" s="189">
        <v>473700</v>
      </c>
      <c r="J52" s="204">
        <f t="shared" ref="J52:J83" si="2">D52/1000</f>
        <v>0.4</v>
      </c>
    </row>
    <row r="53" spans="1:10" ht="18.75" customHeight="1" x14ac:dyDescent="0.35">
      <c r="A53" s="53">
        <v>34</v>
      </c>
      <c r="B53" s="23">
        <v>12240102</v>
      </c>
      <c r="C53" s="22" t="s">
        <v>147</v>
      </c>
      <c r="D53" s="47">
        <v>400</v>
      </c>
      <c r="E53" s="47">
        <v>12</v>
      </c>
      <c r="F53" s="108">
        <v>4.8</v>
      </c>
      <c r="G53" s="47">
        <v>31550</v>
      </c>
      <c r="H53" s="47">
        <v>78875</v>
      </c>
      <c r="I53" s="189">
        <v>378600</v>
      </c>
      <c r="J53" s="204">
        <f t="shared" si="2"/>
        <v>0.4</v>
      </c>
    </row>
    <row r="54" spans="1:10" ht="18.75" customHeight="1" x14ac:dyDescent="0.35">
      <c r="A54" s="53">
        <v>35</v>
      </c>
      <c r="B54" s="23">
        <v>12240103</v>
      </c>
      <c r="C54" s="22" t="s">
        <v>146</v>
      </c>
      <c r="D54" s="156">
        <v>400</v>
      </c>
      <c r="E54" s="47">
        <v>12</v>
      </c>
      <c r="F54" s="108">
        <v>4.8</v>
      </c>
      <c r="G54" s="47">
        <v>31550</v>
      </c>
      <c r="H54" s="47">
        <v>78875</v>
      </c>
      <c r="I54" s="189">
        <v>378600</v>
      </c>
      <c r="J54" s="204">
        <f t="shared" si="2"/>
        <v>0.4</v>
      </c>
    </row>
    <row r="55" spans="1:10" ht="20" customHeight="1" x14ac:dyDescent="0.4">
      <c r="A55" s="75"/>
      <c r="B55" s="75"/>
      <c r="C55" s="77" t="s">
        <v>145</v>
      </c>
      <c r="D55" s="75"/>
      <c r="E55" s="75"/>
      <c r="F55" s="75"/>
      <c r="G55" s="15"/>
      <c r="H55" s="15"/>
      <c r="I55" s="190"/>
      <c r="J55" s="204">
        <f t="shared" si="2"/>
        <v>0</v>
      </c>
    </row>
    <row r="56" spans="1:10" ht="17.5" x14ac:dyDescent="0.35">
      <c r="A56" s="154"/>
      <c r="B56" s="154"/>
      <c r="C56" s="155" t="s">
        <v>144</v>
      </c>
      <c r="D56" s="154"/>
      <c r="E56" s="154"/>
      <c r="F56" s="154"/>
      <c r="G56" s="153"/>
      <c r="H56" s="153"/>
      <c r="I56" s="184"/>
      <c r="J56" s="204">
        <f t="shared" si="2"/>
        <v>0</v>
      </c>
    </row>
    <row r="57" spans="1:10" x14ac:dyDescent="0.35">
      <c r="A57" s="53">
        <v>1</v>
      </c>
      <c r="B57" s="53">
        <v>13030101</v>
      </c>
      <c r="C57" s="93" t="s">
        <v>143</v>
      </c>
      <c r="D57" s="54">
        <v>300</v>
      </c>
      <c r="E57" s="54">
        <v>20</v>
      </c>
      <c r="F57" s="94">
        <v>6</v>
      </c>
      <c r="G57" s="54">
        <v>27425</v>
      </c>
      <c r="H57" s="54">
        <v>91416.666666666672</v>
      </c>
      <c r="I57" s="158">
        <v>548500</v>
      </c>
      <c r="J57" s="204">
        <f t="shared" si="2"/>
        <v>0.3</v>
      </c>
    </row>
    <row r="58" spans="1:10" x14ac:dyDescent="0.35">
      <c r="A58" s="53">
        <v>2</v>
      </c>
      <c r="B58" s="53">
        <v>13030102</v>
      </c>
      <c r="C58" s="93" t="s">
        <v>143</v>
      </c>
      <c r="D58" s="54">
        <v>500</v>
      </c>
      <c r="E58" s="54">
        <v>10</v>
      </c>
      <c r="F58" s="94">
        <v>5</v>
      </c>
      <c r="G58" s="54">
        <v>45625</v>
      </c>
      <c r="H58" s="54">
        <v>91250</v>
      </c>
      <c r="I58" s="158">
        <v>456250</v>
      </c>
      <c r="J58" s="204">
        <f t="shared" si="2"/>
        <v>0.5</v>
      </c>
    </row>
    <row r="59" spans="1:10" x14ac:dyDescent="0.35">
      <c r="A59" s="53">
        <v>3</v>
      </c>
      <c r="B59" s="53">
        <v>13010101</v>
      </c>
      <c r="C59" s="93" t="s">
        <v>142</v>
      </c>
      <c r="D59" s="54">
        <v>300</v>
      </c>
      <c r="E59" s="54">
        <v>20</v>
      </c>
      <c r="F59" s="94">
        <v>6</v>
      </c>
      <c r="G59" s="54">
        <v>29424.999999999996</v>
      </c>
      <c r="H59" s="54">
        <v>98083.333333333328</v>
      </c>
      <c r="I59" s="158">
        <v>588499.99999999988</v>
      </c>
      <c r="J59" s="204">
        <f t="shared" si="2"/>
        <v>0.3</v>
      </c>
    </row>
    <row r="60" spans="1:10" x14ac:dyDescent="0.35">
      <c r="A60" s="53">
        <v>4</v>
      </c>
      <c r="B60" s="53">
        <v>13010102</v>
      </c>
      <c r="C60" s="93" t="s">
        <v>142</v>
      </c>
      <c r="D60" s="54">
        <v>500</v>
      </c>
      <c r="E60" s="54">
        <v>10</v>
      </c>
      <c r="F60" s="94">
        <v>5</v>
      </c>
      <c r="G60" s="54">
        <v>48025</v>
      </c>
      <c r="H60" s="54">
        <v>96050</v>
      </c>
      <c r="I60" s="158">
        <v>480250</v>
      </c>
      <c r="J60" s="204">
        <f t="shared" si="2"/>
        <v>0.5</v>
      </c>
    </row>
    <row r="61" spans="1:10" x14ac:dyDescent="0.35">
      <c r="A61" s="53">
        <v>5</v>
      </c>
      <c r="B61" s="53">
        <v>13050101</v>
      </c>
      <c r="C61" s="93" t="s">
        <v>141</v>
      </c>
      <c r="D61" s="54">
        <v>250</v>
      </c>
      <c r="E61" s="54">
        <v>20</v>
      </c>
      <c r="F61" s="94">
        <v>5</v>
      </c>
      <c r="G61" s="54">
        <v>30175</v>
      </c>
      <c r="H61" s="54">
        <v>120700</v>
      </c>
      <c r="I61" s="158">
        <v>603500</v>
      </c>
      <c r="J61" s="204">
        <f t="shared" si="2"/>
        <v>0.25</v>
      </c>
    </row>
    <row r="62" spans="1:10" x14ac:dyDescent="0.35">
      <c r="A62" s="53">
        <v>6</v>
      </c>
      <c r="B62" s="86">
        <v>13010111</v>
      </c>
      <c r="C62" s="22" t="s">
        <v>140</v>
      </c>
      <c r="D62" s="47">
        <v>300</v>
      </c>
      <c r="E62" s="47">
        <v>20</v>
      </c>
      <c r="F62" s="108">
        <v>6</v>
      </c>
      <c r="G62" s="54">
        <v>37525</v>
      </c>
      <c r="H62" s="54">
        <v>125083.33333333333</v>
      </c>
      <c r="I62" s="158">
        <v>750500</v>
      </c>
      <c r="J62" s="204">
        <f t="shared" si="2"/>
        <v>0.3</v>
      </c>
    </row>
    <row r="63" spans="1:10" x14ac:dyDescent="0.35">
      <c r="A63" s="53">
        <v>7</v>
      </c>
      <c r="B63" s="23">
        <v>13010112</v>
      </c>
      <c r="C63" s="22" t="s">
        <v>139</v>
      </c>
      <c r="D63" s="54">
        <v>300</v>
      </c>
      <c r="E63" s="54">
        <v>20</v>
      </c>
      <c r="F63" s="94">
        <v>6</v>
      </c>
      <c r="G63" s="54">
        <v>40200</v>
      </c>
      <c r="H63" s="54">
        <v>134000</v>
      </c>
      <c r="I63" s="158">
        <v>804000</v>
      </c>
      <c r="J63" s="204">
        <f t="shared" si="2"/>
        <v>0.3</v>
      </c>
    </row>
    <row r="64" spans="1:10" x14ac:dyDescent="0.35">
      <c r="A64" s="53">
        <v>8</v>
      </c>
      <c r="B64" s="23">
        <v>13010113</v>
      </c>
      <c r="C64" s="22" t="s">
        <v>138</v>
      </c>
      <c r="D64" s="54">
        <v>300</v>
      </c>
      <c r="E64" s="54">
        <v>20</v>
      </c>
      <c r="F64" s="94">
        <v>6</v>
      </c>
      <c r="G64" s="54">
        <v>27450</v>
      </c>
      <c r="H64" s="54">
        <v>91500</v>
      </c>
      <c r="I64" s="158">
        <v>549000</v>
      </c>
      <c r="J64" s="204">
        <f t="shared" si="2"/>
        <v>0.3</v>
      </c>
    </row>
    <row r="65" spans="1:10" x14ac:dyDescent="0.35">
      <c r="A65" s="53">
        <v>9</v>
      </c>
      <c r="B65" s="23">
        <v>13050105</v>
      </c>
      <c r="C65" s="22" t="s">
        <v>137</v>
      </c>
      <c r="D65" s="54">
        <v>300</v>
      </c>
      <c r="E65" s="54">
        <v>20</v>
      </c>
      <c r="F65" s="94">
        <v>6</v>
      </c>
      <c r="G65" s="54">
        <v>35950</v>
      </c>
      <c r="H65" s="54">
        <v>119833.33333333333</v>
      </c>
      <c r="I65" s="158">
        <v>719000</v>
      </c>
      <c r="J65" s="204">
        <f t="shared" si="2"/>
        <v>0.3</v>
      </c>
    </row>
    <row r="66" spans="1:10" x14ac:dyDescent="0.35">
      <c r="A66" s="53">
        <v>10</v>
      </c>
      <c r="B66" s="23">
        <v>13050106</v>
      </c>
      <c r="C66" s="1" t="s">
        <v>136</v>
      </c>
      <c r="D66" s="54">
        <v>300</v>
      </c>
      <c r="E66" s="54">
        <v>20</v>
      </c>
      <c r="F66" s="94">
        <v>6</v>
      </c>
      <c r="G66" s="54">
        <v>38875</v>
      </c>
      <c r="H66" s="54">
        <v>129583.33333333333</v>
      </c>
      <c r="I66" s="158">
        <v>777500</v>
      </c>
      <c r="J66" s="204">
        <f t="shared" si="2"/>
        <v>0.3</v>
      </c>
    </row>
    <row r="67" spans="1:10" x14ac:dyDescent="0.35">
      <c r="A67" s="53">
        <v>11</v>
      </c>
      <c r="B67" s="23">
        <v>13010114</v>
      </c>
      <c r="C67" s="22" t="s">
        <v>135</v>
      </c>
      <c r="D67" s="66">
        <v>300</v>
      </c>
      <c r="E67" s="66">
        <v>20</v>
      </c>
      <c r="F67" s="80">
        <v>6</v>
      </c>
      <c r="G67" s="54">
        <v>30000</v>
      </c>
      <c r="H67" s="54">
        <v>100000</v>
      </c>
      <c r="I67" s="158">
        <v>600000</v>
      </c>
      <c r="J67" s="204">
        <f t="shared" si="2"/>
        <v>0.3</v>
      </c>
    </row>
    <row r="68" spans="1:10" x14ac:dyDescent="0.35">
      <c r="A68" s="53">
        <v>12</v>
      </c>
      <c r="B68" s="23">
        <v>13010115</v>
      </c>
      <c r="C68" s="22" t="s">
        <v>134</v>
      </c>
      <c r="D68" s="66">
        <v>300</v>
      </c>
      <c r="E68" s="66">
        <v>20</v>
      </c>
      <c r="F68" s="80">
        <v>6</v>
      </c>
      <c r="G68" s="54">
        <v>30000</v>
      </c>
      <c r="H68" s="54">
        <v>100000</v>
      </c>
      <c r="I68" s="158">
        <v>600000</v>
      </c>
      <c r="J68" s="204">
        <f t="shared" si="2"/>
        <v>0.3</v>
      </c>
    </row>
    <row r="69" spans="1:10" x14ac:dyDescent="0.35">
      <c r="A69" s="53">
        <v>13</v>
      </c>
      <c r="B69" s="23">
        <v>13010116</v>
      </c>
      <c r="C69" s="22" t="s">
        <v>133</v>
      </c>
      <c r="D69" s="66">
        <v>300</v>
      </c>
      <c r="E69" s="66">
        <v>20</v>
      </c>
      <c r="F69" s="80">
        <v>6</v>
      </c>
      <c r="G69" s="54">
        <v>23900</v>
      </c>
      <c r="H69" s="54">
        <v>79666.666666666672</v>
      </c>
      <c r="I69" s="158">
        <v>478000</v>
      </c>
      <c r="J69" s="204">
        <f t="shared" si="2"/>
        <v>0.3</v>
      </c>
    </row>
    <row r="70" spans="1:10" x14ac:dyDescent="0.35">
      <c r="A70" s="53">
        <v>14</v>
      </c>
      <c r="B70" s="23">
        <v>13010117</v>
      </c>
      <c r="C70" s="22" t="s">
        <v>132</v>
      </c>
      <c r="D70" s="66">
        <v>300</v>
      </c>
      <c r="E70" s="66">
        <v>20</v>
      </c>
      <c r="F70" s="80">
        <v>6</v>
      </c>
      <c r="G70" s="54">
        <v>25125</v>
      </c>
      <c r="H70" s="54">
        <v>83750</v>
      </c>
      <c r="I70" s="158">
        <v>502500</v>
      </c>
      <c r="J70" s="204">
        <f t="shared" si="2"/>
        <v>0.3</v>
      </c>
    </row>
    <row r="71" spans="1:10" ht="17.5" x14ac:dyDescent="0.35">
      <c r="A71" s="12"/>
      <c r="B71" s="13"/>
      <c r="C71" s="14" t="s">
        <v>35</v>
      </c>
      <c r="D71" s="13"/>
      <c r="E71" s="13"/>
      <c r="F71" s="13"/>
      <c r="G71" s="12"/>
      <c r="H71" s="12"/>
      <c r="I71" s="191"/>
      <c r="J71" s="204">
        <f t="shared" si="2"/>
        <v>0</v>
      </c>
    </row>
    <row r="72" spans="1:10" x14ac:dyDescent="0.35">
      <c r="A72" s="24">
        <v>1</v>
      </c>
      <c r="B72" s="24">
        <v>16060113</v>
      </c>
      <c r="C72" s="150" t="s">
        <v>131</v>
      </c>
      <c r="D72" s="29">
        <v>180</v>
      </c>
      <c r="E72" s="29">
        <v>30</v>
      </c>
      <c r="F72" s="30">
        <v>5.4</v>
      </c>
      <c r="G72" s="100">
        <v>22685</v>
      </c>
      <c r="H72" s="100">
        <v>126027.77777777778</v>
      </c>
      <c r="I72" s="186">
        <v>680550</v>
      </c>
      <c r="J72" s="204">
        <f t="shared" si="2"/>
        <v>0.18</v>
      </c>
    </row>
    <row r="73" spans="1:10" x14ac:dyDescent="0.35">
      <c r="A73" s="24">
        <v>2</v>
      </c>
      <c r="B73" s="53">
        <v>16060103</v>
      </c>
      <c r="C73" s="152" t="s">
        <v>131</v>
      </c>
      <c r="D73" s="44">
        <v>900</v>
      </c>
      <c r="E73" s="44">
        <v>12</v>
      </c>
      <c r="F73" s="45">
        <v>10.8</v>
      </c>
      <c r="G73" s="54">
        <v>92875</v>
      </c>
      <c r="H73" s="54">
        <v>103194.44444444444</v>
      </c>
      <c r="I73" s="158">
        <v>1114500</v>
      </c>
      <c r="J73" s="204">
        <f t="shared" si="2"/>
        <v>0.9</v>
      </c>
    </row>
    <row r="74" spans="1:10" x14ac:dyDescent="0.35">
      <c r="A74" s="24">
        <v>3</v>
      </c>
      <c r="B74" s="84">
        <v>16060114</v>
      </c>
      <c r="C74" s="31" t="s">
        <v>130</v>
      </c>
      <c r="D74" s="100">
        <v>180</v>
      </c>
      <c r="E74" s="100">
        <v>30</v>
      </c>
      <c r="F74" s="151">
        <v>5.4</v>
      </c>
      <c r="G74" s="100">
        <v>22685</v>
      </c>
      <c r="H74" s="100">
        <v>126027.77777777778</v>
      </c>
      <c r="I74" s="186">
        <v>680550</v>
      </c>
      <c r="J74" s="204">
        <f t="shared" si="2"/>
        <v>0.18</v>
      </c>
    </row>
    <row r="75" spans="1:10" x14ac:dyDescent="0.35">
      <c r="A75" s="24">
        <v>4</v>
      </c>
      <c r="B75" s="53">
        <v>16060121</v>
      </c>
      <c r="C75" s="52" t="s">
        <v>129</v>
      </c>
      <c r="D75" s="54">
        <v>400</v>
      </c>
      <c r="E75" s="54">
        <v>12</v>
      </c>
      <c r="F75" s="94">
        <v>4.8</v>
      </c>
      <c r="G75" s="54">
        <v>33025</v>
      </c>
      <c r="H75" s="54">
        <v>82562.5</v>
      </c>
      <c r="I75" s="158">
        <v>396300</v>
      </c>
      <c r="J75" s="204">
        <f t="shared" si="2"/>
        <v>0.4</v>
      </c>
    </row>
    <row r="76" spans="1:10" ht="17.5" x14ac:dyDescent="0.35">
      <c r="A76" s="13"/>
      <c r="B76" s="13"/>
      <c r="C76" s="14" t="s">
        <v>128</v>
      </c>
      <c r="D76" s="13"/>
      <c r="E76" s="13"/>
      <c r="F76" s="13"/>
      <c r="G76" s="12"/>
      <c r="H76" s="12"/>
      <c r="I76" s="191"/>
      <c r="J76" s="204">
        <f t="shared" si="2"/>
        <v>0</v>
      </c>
    </row>
    <row r="77" spans="1:10" x14ac:dyDescent="0.35">
      <c r="A77" s="53">
        <v>1</v>
      </c>
      <c r="B77" s="24">
        <v>15010101</v>
      </c>
      <c r="C77" s="150" t="s">
        <v>127</v>
      </c>
      <c r="D77" s="29">
        <v>500</v>
      </c>
      <c r="E77" s="29">
        <v>12</v>
      </c>
      <c r="F77" s="30">
        <v>6</v>
      </c>
      <c r="G77" s="100">
        <v>19825</v>
      </c>
      <c r="H77" s="100">
        <v>39650</v>
      </c>
      <c r="I77" s="186">
        <v>237900</v>
      </c>
      <c r="J77" s="204">
        <f t="shared" si="2"/>
        <v>0.5</v>
      </c>
    </row>
    <row r="78" spans="1:10" x14ac:dyDescent="0.35">
      <c r="A78" s="53">
        <v>2</v>
      </c>
      <c r="B78" s="149">
        <v>15010102</v>
      </c>
      <c r="C78" s="148" t="s">
        <v>127</v>
      </c>
      <c r="D78" s="83">
        <v>1000</v>
      </c>
      <c r="E78" s="83">
        <v>12</v>
      </c>
      <c r="F78" s="147">
        <v>12</v>
      </c>
      <c r="G78" s="100">
        <v>37900</v>
      </c>
      <c r="H78" s="100">
        <v>37900</v>
      </c>
      <c r="I78" s="186">
        <v>454800</v>
      </c>
      <c r="J78" s="204">
        <f t="shared" si="2"/>
        <v>1</v>
      </c>
    </row>
    <row r="79" spans="1:10" x14ac:dyDescent="0.35">
      <c r="A79" s="53">
        <v>3</v>
      </c>
      <c r="B79" s="23">
        <v>15010107</v>
      </c>
      <c r="C79" s="142" t="s">
        <v>126</v>
      </c>
      <c r="D79" s="20">
        <v>2000</v>
      </c>
      <c r="E79" s="44">
        <v>6</v>
      </c>
      <c r="F79" s="45">
        <v>12</v>
      </c>
      <c r="G79" s="54">
        <v>66900</v>
      </c>
      <c r="H79" s="54">
        <v>33450</v>
      </c>
      <c r="I79" s="158">
        <v>401400</v>
      </c>
      <c r="J79" s="204">
        <f t="shared" si="2"/>
        <v>2</v>
      </c>
    </row>
    <row r="80" spans="1:10" x14ac:dyDescent="0.35">
      <c r="A80" s="53">
        <v>4</v>
      </c>
      <c r="B80" s="23">
        <v>15020101</v>
      </c>
      <c r="C80" s="142" t="s">
        <v>125</v>
      </c>
      <c r="D80" s="20">
        <v>500</v>
      </c>
      <c r="E80" s="20">
        <v>12</v>
      </c>
      <c r="F80" s="21">
        <v>6</v>
      </c>
      <c r="G80" s="54">
        <v>22250</v>
      </c>
      <c r="H80" s="54">
        <v>44500</v>
      </c>
      <c r="I80" s="158">
        <v>267000</v>
      </c>
      <c r="J80" s="204">
        <f t="shared" si="2"/>
        <v>0.5</v>
      </c>
    </row>
    <row r="81" spans="1:10" x14ac:dyDescent="0.35">
      <c r="A81" s="53">
        <v>5</v>
      </c>
      <c r="B81" s="23">
        <v>15020102</v>
      </c>
      <c r="C81" s="142" t="s">
        <v>125</v>
      </c>
      <c r="D81" s="20">
        <v>1000</v>
      </c>
      <c r="E81" s="20">
        <v>12</v>
      </c>
      <c r="F81" s="21">
        <v>12</v>
      </c>
      <c r="G81" s="54">
        <v>42650</v>
      </c>
      <c r="H81" s="54">
        <v>42650</v>
      </c>
      <c r="I81" s="158">
        <v>511800</v>
      </c>
      <c r="J81" s="204">
        <f t="shared" si="2"/>
        <v>1</v>
      </c>
    </row>
    <row r="82" spans="1:10" x14ac:dyDescent="0.35">
      <c r="A82" s="53">
        <v>6</v>
      </c>
      <c r="B82" s="23">
        <v>15030101</v>
      </c>
      <c r="C82" s="142" t="s">
        <v>124</v>
      </c>
      <c r="D82" s="20">
        <v>500</v>
      </c>
      <c r="E82" s="20">
        <v>12</v>
      </c>
      <c r="F82" s="21">
        <v>6</v>
      </c>
      <c r="G82" s="54">
        <v>22100</v>
      </c>
      <c r="H82" s="54">
        <v>44200</v>
      </c>
      <c r="I82" s="158">
        <v>265200</v>
      </c>
      <c r="J82" s="204">
        <f t="shared" si="2"/>
        <v>0.5</v>
      </c>
    </row>
    <row r="83" spans="1:10" x14ac:dyDescent="0.35">
      <c r="A83" s="53">
        <v>7</v>
      </c>
      <c r="B83" s="23">
        <v>15030102</v>
      </c>
      <c r="C83" s="142" t="s">
        <v>124</v>
      </c>
      <c r="D83" s="20">
        <v>1000</v>
      </c>
      <c r="E83" s="20">
        <v>12</v>
      </c>
      <c r="F83" s="21">
        <v>12</v>
      </c>
      <c r="G83" s="54">
        <v>39075</v>
      </c>
      <c r="H83" s="54">
        <v>39075</v>
      </c>
      <c r="I83" s="158">
        <v>468900</v>
      </c>
      <c r="J83" s="204">
        <f t="shared" si="2"/>
        <v>1</v>
      </c>
    </row>
    <row r="84" spans="1:10" x14ac:dyDescent="0.35">
      <c r="A84" s="53">
        <v>8</v>
      </c>
      <c r="B84" s="146">
        <v>15040101</v>
      </c>
      <c r="C84" s="145" t="s">
        <v>123</v>
      </c>
      <c r="D84" s="144">
        <v>500</v>
      </c>
      <c r="E84" s="144">
        <v>12</v>
      </c>
      <c r="F84" s="143">
        <v>6</v>
      </c>
      <c r="G84" s="54">
        <v>27500</v>
      </c>
      <c r="H84" s="54">
        <v>55000</v>
      </c>
      <c r="I84" s="158">
        <v>330000</v>
      </c>
      <c r="J84" s="204">
        <f t="shared" ref="J84:J115" si="3">D84/1000</f>
        <v>0.5</v>
      </c>
    </row>
    <row r="85" spans="1:10" x14ac:dyDescent="0.35">
      <c r="A85" s="53">
        <v>9</v>
      </c>
      <c r="B85" s="23">
        <v>15040102</v>
      </c>
      <c r="C85" s="142" t="s">
        <v>123</v>
      </c>
      <c r="D85" s="20">
        <v>1000</v>
      </c>
      <c r="E85" s="20">
        <v>12</v>
      </c>
      <c r="F85" s="21">
        <v>12</v>
      </c>
      <c r="G85" s="54">
        <v>47525</v>
      </c>
      <c r="H85" s="54">
        <v>47525</v>
      </c>
      <c r="I85" s="158">
        <v>570300</v>
      </c>
      <c r="J85" s="204">
        <f t="shared" si="3"/>
        <v>1</v>
      </c>
    </row>
    <row r="86" spans="1:10" ht="17.5" x14ac:dyDescent="0.35">
      <c r="A86" s="140"/>
      <c r="B86" s="140"/>
      <c r="C86" s="141" t="s">
        <v>122</v>
      </c>
      <c r="D86" s="140"/>
      <c r="E86" s="140"/>
      <c r="F86" s="139"/>
      <c r="G86" s="138"/>
      <c r="H86" s="138"/>
      <c r="I86" s="192"/>
      <c r="J86" s="204">
        <f t="shared" si="3"/>
        <v>0</v>
      </c>
    </row>
    <row r="87" spans="1:10" x14ac:dyDescent="0.35">
      <c r="A87" s="23">
        <v>1</v>
      </c>
      <c r="B87" s="23">
        <v>21010101</v>
      </c>
      <c r="C87" s="123" t="s">
        <v>121</v>
      </c>
      <c r="D87" s="48">
        <v>320</v>
      </c>
      <c r="E87" s="47">
        <v>6</v>
      </c>
      <c r="F87" s="122">
        <v>1.92</v>
      </c>
      <c r="G87" s="47">
        <v>19350</v>
      </c>
      <c r="H87" s="47">
        <v>60468.75</v>
      </c>
      <c r="I87" s="189">
        <v>116100</v>
      </c>
      <c r="J87" s="204">
        <f t="shared" si="3"/>
        <v>0.32</v>
      </c>
    </row>
    <row r="88" spans="1:10" x14ac:dyDescent="0.35">
      <c r="A88" s="23">
        <v>2</v>
      </c>
      <c r="B88" s="23">
        <v>21000123</v>
      </c>
      <c r="C88" s="123" t="s">
        <v>120</v>
      </c>
      <c r="D88" s="48">
        <v>320</v>
      </c>
      <c r="E88" s="47">
        <v>6</v>
      </c>
      <c r="F88" s="122">
        <v>1.92</v>
      </c>
      <c r="G88" s="47">
        <v>19350</v>
      </c>
      <c r="H88" s="47">
        <v>60468.75</v>
      </c>
      <c r="I88" s="189">
        <v>116100</v>
      </c>
      <c r="J88" s="204">
        <f t="shared" si="3"/>
        <v>0.32</v>
      </c>
    </row>
    <row r="89" spans="1:10" x14ac:dyDescent="0.35">
      <c r="A89" s="23">
        <v>3</v>
      </c>
      <c r="B89" s="23">
        <v>21000124</v>
      </c>
      <c r="C89" s="123" t="s">
        <v>119</v>
      </c>
      <c r="D89" s="48">
        <v>320</v>
      </c>
      <c r="E89" s="47">
        <v>6</v>
      </c>
      <c r="F89" s="122">
        <v>1.92</v>
      </c>
      <c r="G89" s="47">
        <v>19350</v>
      </c>
      <c r="H89" s="47">
        <v>60468.75</v>
      </c>
      <c r="I89" s="189">
        <v>116100</v>
      </c>
      <c r="J89" s="204">
        <f t="shared" si="3"/>
        <v>0.32</v>
      </c>
    </row>
    <row r="90" spans="1:10" x14ac:dyDescent="0.35">
      <c r="A90" s="23">
        <v>4</v>
      </c>
      <c r="B90" s="23">
        <v>21000125</v>
      </c>
      <c r="C90" s="123" t="s">
        <v>118</v>
      </c>
      <c r="D90" s="48">
        <v>320</v>
      </c>
      <c r="E90" s="47">
        <v>6</v>
      </c>
      <c r="F90" s="122">
        <v>1.92</v>
      </c>
      <c r="G90" s="47">
        <v>19350</v>
      </c>
      <c r="H90" s="47">
        <v>60468.75</v>
      </c>
      <c r="I90" s="189">
        <v>116100</v>
      </c>
      <c r="J90" s="204">
        <f t="shared" si="3"/>
        <v>0.32</v>
      </c>
    </row>
    <row r="91" spans="1:10" x14ac:dyDescent="0.35">
      <c r="A91" s="23">
        <v>5</v>
      </c>
      <c r="B91" s="23">
        <v>21000126</v>
      </c>
      <c r="C91" s="123" t="s">
        <v>117</v>
      </c>
      <c r="D91" s="137">
        <v>320</v>
      </c>
      <c r="E91" s="47">
        <v>6</v>
      </c>
      <c r="F91" s="136">
        <v>1.92</v>
      </c>
      <c r="G91" s="47">
        <v>19350</v>
      </c>
      <c r="H91" s="47">
        <v>60468.75</v>
      </c>
      <c r="I91" s="189">
        <v>116100</v>
      </c>
      <c r="J91" s="204">
        <f t="shared" si="3"/>
        <v>0.32</v>
      </c>
    </row>
    <row r="92" spans="1:10" x14ac:dyDescent="0.35">
      <c r="A92" s="23">
        <v>6</v>
      </c>
      <c r="B92" s="23">
        <v>21000127</v>
      </c>
      <c r="C92" s="123" t="s">
        <v>116</v>
      </c>
      <c r="D92" s="137">
        <v>320</v>
      </c>
      <c r="E92" s="47">
        <v>6</v>
      </c>
      <c r="F92" s="136">
        <v>1.92</v>
      </c>
      <c r="G92" s="47">
        <v>19350</v>
      </c>
      <c r="H92" s="47">
        <v>60468.75</v>
      </c>
      <c r="I92" s="189">
        <v>116100</v>
      </c>
      <c r="J92" s="204">
        <f t="shared" si="3"/>
        <v>0.32</v>
      </c>
    </row>
    <row r="93" spans="1:10" x14ac:dyDescent="0.35">
      <c r="A93" s="23">
        <v>7</v>
      </c>
      <c r="B93" s="23">
        <v>21000128</v>
      </c>
      <c r="C93" s="123" t="s">
        <v>115</v>
      </c>
      <c r="D93" s="137">
        <v>320</v>
      </c>
      <c r="E93" s="47">
        <v>6</v>
      </c>
      <c r="F93" s="136">
        <v>1.92</v>
      </c>
      <c r="G93" s="47">
        <v>19350</v>
      </c>
      <c r="H93" s="47">
        <v>60468.75</v>
      </c>
      <c r="I93" s="189">
        <v>116100</v>
      </c>
      <c r="J93" s="204">
        <f t="shared" si="3"/>
        <v>0.32</v>
      </c>
    </row>
    <row r="94" spans="1:10" x14ac:dyDescent="0.35">
      <c r="A94" s="23">
        <v>8</v>
      </c>
      <c r="B94" s="23">
        <v>21000129</v>
      </c>
      <c r="C94" s="123" t="s">
        <v>114</v>
      </c>
      <c r="D94" s="137">
        <v>320</v>
      </c>
      <c r="E94" s="47">
        <v>6</v>
      </c>
      <c r="F94" s="136">
        <v>1.92</v>
      </c>
      <c r="G94" s="47">
        <v>19350</v>
      </c>
      <c r="H94" s="47">
        <v>60468.75</v>
      </c>
      <c r="I94" s="189">
        <v>116100</v>
      </c>
      <c r="J94" s="204">
        <f t="shared" si="3"/>
        <v>0.32</v>
      </c>
    </row>
    <row r="95" spans="1:10" x14ac:dyDescent="0.35">
      <c r="A95" s="23">
        <v>9</v>
      </c>
      <c r="B95" s="23">
        <v>21000130</v>
      </c>
      <c r="C95" s="123" t="s">
        <v>113</v>
      </c>
      <c r="D95" s="137">
        <v>320</v>
      </c>
      <c r="E95" s="47">
        <v>6</v>
      </c>
      <c r="F95" s="136">
        <v>1.92</v>
      </c>
      <c r="G95" s="47">
        <v>19350</v>
      </c>
      <c r="H95" s="47">
        <v>60468.75</v>
      </c>
      <c r="I95" s="189">
        <v>116100</v>
      </c>
      <c r="J95" s="204">
        <f t="shared" si="3"/>
        <v>0.32</v>
      </c>
    </row>
    <row r="96" spans="1:10" x14ac:dyDescent="0.35">
      <c r="A96" s="23">
        <v>10</v>
      </c>
      <c r="B96" s="23">
        <v>21000131</v>
      </c>
      <c r="C96" s="123" t="s">
        <v>112</v>
      </c>
      <c r="D96" s="137">
        <v>320</v>
      </c>
      <c r="E96" s="47">
        <v>6</v>
      </c>
      <c r="F96" s="136">
        <v>1.92</v>
      </c>
      <c r="G96" s="47">
        <v>19350</v>
      </c>
      <c r="H96" s="47">
        <v>60468.75</v>
      </c>
      <c r="I96" s="189">
        <v>116100</v>
      </c>
      <c r="J96" s="204">
        <f t="shared" si="3"/>
        <v>0.32</v>
      </c>
    </row>
    <row r="97" spans="1:10" x14ac:dyDescent="0.35">
      <c r="A97" s="23">
        <v>11</v>
      </c>
      <c r="B97" s="23">
        <v>21000132</v>
      </c>
      <c r="C97" s="123" t="s">
        <v>111</v>
      </c>
      <c r="D97" s="137">
        <v>320</v>
      </c>
      <c r="E97" s="47">
        <v>6</v>
      </c>
      <c r="F97" s="136">
        <v>1.92</v>
      </c>
      <c r="G97" s="47">
        <v>19350</v>
      </c>
      <c r="H97" s="47">
        <v>60468.75</v>
      </c>
      <c r="I97" s="189">
        <v>116100</v>
      </c>
      <c r="J97" s="204">
        <f t="shared" si="3"/>
        <v>0.32</v>
      </c>
    </row>
    <row r="98" spans="1:10" x14ac:dyDescent="0.35">
      <c r="A98" s="23">
        <v>12</v>
      </c>
      <c r="B98" s="23">
        <v>21000133</v>
      </c>
      <c r="C98" s="123" t="s">
        <v>110</v>
      </c>
      <c r="D98" s="137">
        <v>320</v>
      </c>
      <c r="E98" s="47">
        <v>6</v>
      </c>
      <c r="F98" s="136">
        <v>1.92</v>
      </c>
      <c r="G98" s="47">
        <v>19350</v>
      </c>
      <c r="H98" s="47">
        <v>60468.75</v>
      </c>
      <c r="I98" s="189">
        <v>116100</v>
      </c>
      <c r="J98" s="204">
        <f t="shared" si="3"/>
        <v>0.32</v>
      </c>
    </row>
    <row r="99" spans="1:10" x14ac:dyDescent="0.35">
      <c r="A99" s="23">
        <v>13</v>
      </c>
      <c r="B99" s="23">
        <v>21000134</v>
      </c>
      <c r="C99" s="123" t="s">
        <v>109</v>
      </c>
      <c r="D99" s="137">
        <v>320</v>
      </c>
      <c r="E99" s="47">
        <v>6</v>
      </c>
      <c r="F99" s="136">
        <v>1.92</v>
      </c>
      <c r="G99" s="47">
        <v>19350</v>
      </c>
      <c r="H99" s="47">
        <v>60468.75</v>
      </c>
      <c r="I99" s="189">
        <v>116100</v>
      </c>
      <c r="J99" s="204">
        <f t="shared" si="3"/>
        <v>0.32</v>
      </c>
    </row>
    <row r="100" spans="1:10" x14ac:dyDescent="0.35">
      <c r="A100" s="23">
        <v>14</v>
      </c>
      <c r="B100" s="23">
        <v>21000135</v>
      </c>
      <c r="C100" s="123" t="s">
        <v>108</v>
      </c>
      <c r="D100" s="137">
        <v>320</v>
      </c>
      <c r="E100" s="47">
        <v>6</v>
      </c>
      <c r="F100" s="136">
        <v>1.92</v>
      </c>
      <c r="G100" s="47">
        <v>19350</v>
      </c>
      <c r="H100" s="47">
        <v>60468.75</v>
      </c>
      <c r="I100" s="189">
        <v>116100</v>
      </c>
      <c r="J100" s="204">
        <f t="shared" si="3"/>
        <v>0.32</v>
      </c>
    </row>
    <row r="101" spans="1:10" x14ac:dyDescent="0.35">
      <c r="A101" s="23">
        <v>15</v>
      </c>
      <c r="B101" s="23">
        <v>21000136</v>
      </c>
      <c r="C101" s="123" t="s">
        <v>107</v>
      </c>
      <c r="D101" s="137">
        <v>320</v>
      </c>
      <c r="E101" s="47">
        <v>6</v>
      </c>
      <c r="F101" s="136">
        <v>1.92</v>
      </c>
      <c r="G101" s="47">
        <v>19350</v>
      </c>
      <c r="H101" s="47">
        <v>60468.75</v>
      </c>
      <c r="I101" s="189">
        <v>116100</v>
      </c>
      <c r="J101" s="204">
        <f t="shared" si="3"/>
        <v>0.32</v>
      </c>
    </row>
    <row r="102" spans="1:10" x14ac:dyDescent="0.35">
      <c r="A102" s="23">
        <v>16</v>
      </c>
      <c r="B102" s="23">
        <v>21000137</v>
      </c>
      <c r="C102" s="123" t="s">
        <v>106</v>
      </c>
      <c r="D102" s="48">
        <v>320</v>
      </c>
      <c r="E102" s="47">
        <v>6</v>
      </c>
      <c r="F102" s="122">
        <v>1.92</v>
      </c>
      <c r="G102" s="47">
        <v>19350</v>
      </c>
      <c r="H102" s="121">
        <v>60468.75</v>
      </c>
      <c r="I102" s="189">
        <v>116100</v>
      </c>
      <c r="J102" s="204">
        <f t="shared" si="3"/>
        <v>0.32</v>
      </c>
    </row>
    <row r="103" spans="1:10" x14ac:dyDescent="0.35">
      <c r="A103" s="23">
        <v>17</v>
      </c>
      <c r="B103" s="23">
        <v>21310103</v>
      </c>
      <c r="C103" s="123" t="s">
        <v>105</v>
      </c>
      <c r="D103" s="137">
        <v>320</v>
      </c>
      <c r="E103" s="47">
        <v>6</v>
      </c>
      <c r="F103" s="136">
        <v>1.92</v>
      </c>
      <c r="G103" s="47">
        <v>19350</v>
      </c>
      <c r="H103" s="47">
        <v>60468.75</v>
      </c>
      <c r="I103" s="189">
        <v>116100</v>
      </c>
      <c r="J103" s="204">
        <f t="shared" si="3"/>
        <v>0.32</v>
      </c>
    </row>
    <row r="104" spans="1:10" x14ac:dyDescent="0.35">
      <c r="A104" s="23">
        <v>18</v>
      </c>
      <c r="B104" s="23">
        <v>21100110</v>
      </c>
      <c r="C104" s="123" t="s">
        <v>104</v>
      </c>
      <c r="D104" s="137">
        <v>300</v>
      </c>
      <c r="E104" s="47">
        <v>6</v>
      </c>
      <c r="F104" s="136">
        <v>1.8</v>
      </c>
      <c r="G104" s="47">
        <v>19300</v>
      </c>
      <c r="H104" s="47">
        <v>64333.333333333336</v>
      </c>
      <c r="I104" s="189">
        <v>115800</v>
      </c>
      <c r="J104" s="204">
        <f t="shared" si="3"/>
        <v>0.3</v>
      </c>
    </row>
    <row r="105" spans="1:10" x14ac:dyDescent="0.35">
      <c r="A105" s="23">
        <v>19</v>
      </c>
      <c r="B105" s="23">
        <v>21100109</v>
      </c>
      <c r="C105" s="123" t="s">
        <v>103</v>
      </c>
      <c r="D105" s="137">
        <v>300</v>
      </c>
      <c r="E105" s="47">
        <v>6</v>
      </c>
      <c r="F105" s="136">
        <v>1.8</v>
      </c>
      <c r="G105" s="47">
        <v>19300</v>
      </c>
      <c r="H105" s="47">
        <v>64333.333333333336</v>
      </c>
      <c r="I105" s="189">
        <v>115800</v>
      </c>
      <c r="J105" s="204">
        <f t="shared" si="3"/>
        <v>0.3</v>
      </c>
    </row>
    <row r="106" spans="1:10" x14ac:dyDescent="0.35">
      <c r="A106" s="23">
        <v>20</v>
      </c>
      <c r="B106" s="23">
        <v>21200108</v>
      </c>
      <c r="C106" s="123" t="s">
        <v>102</v>
      </c>
      <c r="D106" s="137">
        <v>320</v>
      </c>
      <c r="E106" s="47">
        <v>6</v>
      </c>
      <c r="F106" s="136">
        <v>1.92</v>
      </c>
      <c r="G106" s="47">
        <v>19350</v>
      </c>
      <c r="H106" s="47">
        <v>60468.75</v>
      </c>
      <c r="I106" s="189">
        <v>116100</v>
      </c>
      <c r="J106" s="204">
        <f t="shared" si="3"/>
        <v>0.32</v>
      </c>
    </row>
    <row r="107" spans="1:10" x14ac:dyDescent="0.35">
      <c r="A107" s="23">
        <v>21</v>
      </c>
      <c r="B107" s="23">
        <v>21200109</v>
      </c>
      <c r="C107" s="123" t="s">
        <v>101</v>
      </c>
      <c r="D107" s="137">
        <v>320</v>
      </c>
      <c r="E107" s="47">
        <v>6</v>
      </c>
      <c r="F107" s="136">
        <v>1.92</v>
      </c>
      <c r="G107" s="47">
        <v>19350</v>
      </c>
      <c r="H107" s="47">
        <v>60468.75</v>
      </c>
      <c r="I107" s="189">
        <v>116100</v>
      </c>
      <c r="J107" s="204">
        <f t="shared" si="3"/>
        <v>0.32</v>
      </c>
    </row>
    <row r="108" spans="1:10" x14ac:dyDescent="0.35">
      <c r="A108" s="23">
        <v>22</v>
      </c>
      <c r="B108" s="23">
        <v>21200107</v>
      </c>
      <c r="C108" s="123" t="s">
        <v>100</v>
      </c>
      <c r="D108" s="137">
        <v>300</v>
      </c>
      <c r="E108" s="47">
        <v>6</v>
      </c>
      <c r="F108" s="136">
        <v>1.8</v>
      </c>
      <c r="G108" s="47">
        <v>19300</v>
      </c>
      <c r="H108" s="47">
        <v>64333.333333333336</v>
      </c>
      <c r="I108" s="189">
        <v>115800</v>
      </c>
      <c r="J108" s="204">
        <f t="shared" si="3"/>
        <v>0.3</v>
      </c>
    </row>
    <row r="109" spans="1:10" x14ac:dyDescent="0.35">
      <c r="A109" s="23">
        <v>23</v>
      </c>
      <c r="B109" s="23">
        <v>21010102</v>
      </c>
      <c r="C109" s="123" t="s">
        <v>99</v>
      </c>
      <c r="D109" s="137">
        <v>320</v>
      </c>
      <c r="E109" s="47">
        <v>6</v>
      </c>
      <c r="F109" s="136">
        <v>1.92</v>
      </c>
      <c r="G109" s="47">
        <v>19350</v>
      </c>
      <c r="H109" s="47">
        <v>60468.75</v>
      </c>
      <c r="I109" s="189">
        <v>116100</v>
      </c>
      <c r="J109" s="204">
        <f t="shared" si="3"/>
        <v>0.32</v>
      </c>
    </row>
    <row r="110" spans="1:10" x14ac:dyDescent="0.35">
      <c r="A110" s="23">
        <v>24</v>
      </c>
      <c r="B110" s="23">
        <v>21010103</v>
      </c>
      <c r="C110" s="123" t="s">
        <v>98</v>
      </c>
      <c r="D110" s="137">
        <v>320</v>
      </c>
      <c r="E110" s="47">
        <v>6</v>
      </c>
      <c r="F110" s="136">
        <v>1.92</v>
      </c>
      <c r="G110" s="47">
        <v>19350</v>
      </c>
      <c r="H110" s="47">
        <v>60468.75</v>
      </c>
      <c r="I110" s="189">
        <v>116100</v>
      </c>
      <c r="J110" s="204">
        <f t="shared" si="3"/>
        <v>0.32</v>
      </c>
    </row>
    <row r="111" spans="1:10" x14ac:dyDescent="0.35">
      <c r="A111" s="23">
        <v>25</v>
      </c>
      <c r="B111" s="23">
        <v>21010104</v>
      </c>
      <c r="C111" s="123" t="s">
        <v>97</v>
      </c>
      <c r="D111" s="137">
        <v>320</v>
      </c>
      <c r="E111" s="47">
        <v>6</v>
      </c>
      <c r="F111" s="136">
        <v>1.92</v>
      </c>
      <c r="G111" s="47">
        <v>19350</v>
      </c>
      <c r="H111" s="47">
        <v>60468.75</v>
      </c>
      <c r="I111" s="189">
        <v>116100</v>
      </c>
      <c r="J111" s="204">
        <f t="shared" si="3"/>
        <v>0.32</v>
      </c>
    </row>
    <row r="112" spans="1:10" x14ac:dyDescent="0.35">
      <c r="A112" s="23">
        <v>26</v>
      </c>
      <c r="B112" s="23">
        <v>21010105</v>
      </c>
      <c r="C112" s="123" t="s">
        <v>96</v>
      </c>
      <c r="D112" s="137">
        <v>320</v>
      </c>
      <c r="E112" s="47">
        <v>6</v>
      </c>
      <c r="F112" s="136">
        <v>1.92</v>
      </c>
      <c r="G112" s="47">
        <v>19350</v>
      </c>
      <c r="H112" s="47">
        <v>60468.75</v>
      </c>
      <c r="I112" s="189">
        <v>116100</v>
      </c>
      <c r="J112" s="204">
        <f t="shared" si="3"/>
        <v>0.32</v>
      </c>
    </row>
    <row r="113" spans="1:10" x14ac:dyDescent="0.35">
      <c r="A113" s="23">
        <v>27</v>
      </c>
      <c r="B113" s="24">
        <v>21500101</v>
      </c>
      <c r="C113" s="82" t="s">
        <v>95</v>
      </c>
      <c r="D113" s="51">
        <v>230</v>
      </c>
      <c r="E113" s="100">
        <v>5</v>
      </c>
      <c r="F113" s="124">
        <v>1.1499999999999999</v>
      </c>
      <c r="G113" s="100">
        <v>31975</v>
      </c>
      <c r="H113" s="100">
        <v>139021.73913043478</v>
      </c>
      <c r="I113" s="186">
        <v>159875</v>
      </c>
      <c r="J113" s="204">
        <f t="shared" si="3"/>
        <v>0.23</v>
      </c>
    </row>
    <row r="114" spans="1:10" x14ac:dyDescent="0.35">
      <c r="A114" s="23">
        <v>28</v>
      </c>
      <c r="B114" s="24">
        <v>21500102</v>
      </c>
      <c r="C114" s="82" t="s">
        <v>94</v>
      </c>
      <c r="D114" s="91">
        <v>230</v>
      </c>
      <c r="E114" s="100">
        <v>5</v>
      </c>
      <c r="F114" s="124">
        <v>1.1499999999999999</v>
      </c>
      <c r="G114" s="100">
        <v>34675</v>
      </c>
      <c r="H114" s="100">
        <v>150760.86956521738</v>
      </c>
      <c r="I114" s="186">
        <v>173375</v>
      </c>
      <c r="J114" s="204">
        <f t="shared" si="3"/>
        <v>0.23</v>
      </c>
    </row>
    <row r="115" spans="1:10" ht="17.5" x14ac:dyDescent="0.35">
      <c r="A115" s="134"/>
      <c r="B115" s="134"/>
      <c r="C115" s="135" t="s">
        <v>93</v>
      </c>
      <c r="D115" s="134"/>
      <c r="E115" s="134"/>
      <c r="F115" s="133"/>
      <c r="G115" s="12"/>
      <c r="H115" s="12"/>
      <c r="I115" s="191"/>
      <c r="J115" s="204">
        <f t="shared" si="3"/>
        <v>0</v>
      </c>
    </row>
    <row r="116" spans="1:10" x14ac:dyDescent="0.35">
      <c r="A116" s="53">
        <v>1</v>
      </c>
      <c r="B116" s="42">
        <v>17200109</v>
      </c>
      <c r="C116" s="125" t="s">
        <v>92</v>
      </c>
      <c r="D116" s="51">
        <v>300</v>
      </c>
      <c r="E116" s="50">
        <v>8</v>
      </c>
      <c r="F116" s="49">
        <v>2.4</v>
      </c>
      <c r="G116" s="50">
        <v>26349.999999999993</v>
      </c>
      <c r="H116" s="50">
        <v>87833.333333333314</v>
      </c>
      <c r="I116" s="185">
        <v>210799.99999999994</v>
      </c>
      <c r="J116" s="204">
        <f t="shared" ref="J116:J124" si="4">D116/1000</f>
        <v>0.3</v>
      </c>
    </row>
    <row r="117" spans="1:10" x14ac:dyDescent="0.35">
      <c r="A117" s="53">
        <v>2</v>
      </c>
      <c r="B117" s="42">
        <v>17200110</v>
      </c>
      <c r="C117" s="125" t="s">
        <v>91</v>
      </c>
      <c r="D117" s="51">
        <v>300</v>
      </c>
      <c r="E117" s="50">
        <v>8</v>
      </c>
      <c r="F117" s="49">
        <v>2.4</v>
      </c>
      <c r="G117" s="50">
        <v>34275</v>
      </c>
      <c r="H117" s="50">
        <v>114250</v>
      </c>
      <c r="I117" s="185">
        <v>274200</v>
      </c>
      <c r="J117" s="204">
        <f t="shared" si="4"/>
        <v>0.3</v>
      </c>
    </row>
    <row r="118" spans="1:10" x14ac:dyDescent="0.35">
      <c r="A118" s="53">
        <v>3</v>
      </c>
      <c r="B118" s="42">
        <v>17210107</v>
      </c>
      <c r="C118" s="125" t="s">
        <v>90</v>
      </c>
      <c r="D118" s="51">
        <v>300</v>
      </c>
      <c r="E118" s="50">
        <v>8</v>
      </c>
      <c r="F118" s="49">
        <v>2.4</v>
      </c>
      <c r="G118" s="50">
        <v>49549.999999999993</v>
      </c>
      <c r="H118" s="50">
        <v>165166.66666666666</v>
      </c>
      <c r="I118" s="185">
        <v>396399.99999999994</v>
      </c>
      <c r="J118" s="204">
        <f t="shared" si="4"/>
        <v>0.3</v>
      </c>
    </row>
    <row r="119" spans="1:10" x14ac:dyDescent="0.35">
      <c r="A119" s="53">
        <v>4</v>
      </c>
      <c r="B119" s="42">
        <v>17210106</v>
      </c>
      <c r="C119" s="125" t="s">
        <v>89</v>
      </c>
      <c r="D119" s="51">
        <v>300</v>
      </c>
      <c r="E119" s="50">
        <v>8</v>
      </c>
      <c r="F119" s="49">
        <v>2.4</v>
      </c>
      <c r="G119" s="50">
        <v>38000</v>
      </c>
      <c r="H119" s="50">
        <v>126666.66666666667</v>
      </c>
      <c r="I119" s="185">
        <v>304000</v>
      </c>
      <c r="J119" s="204">
        <f t="shared" si="4"/>
        <v>0.3</v>
      </c>
    </row>
    <row r="120" spans="1:10" x14ac:dyDescent="0.35">
      <c r="A120" s="53">
        <v>5</v>
      </c>
      <c r="B120" s="42">
        <v>17200111</v>
      </c>
      <c r="C120" s="125" t="s">
        <v>88</v>
      </c>
      <c r="D120" s="51">
        <v>300</v>
      </c>
      <c r="E120" s="50">
        <v>8</v>
      </c>
      <c r="F120" s="49">
        <v>2.4</v>
      </c>
      <c r="G120" s="50">
        <v>30600</v>
      </c>
      <c r="H120" s="50">
        <v>102000</v>
      </c>
      <c r="I120" s="185">
        <v>244800</v>
      </c>
      <c r="J120" s="204">
        <f t="shared" si="4"/>
        <v>0.3</v>
      </c>
    </row>
    <row r="121" spans="1:10" x14ac:dyDescent="0.35">
      <c r="A121" s="53">
        <v>6</v>
      </c>
      <c r="B121" s="42">
        <v>17200112</v>
      </c>
      <c r="C121" s="125" t="s">
        <v>87</v>
      </c>
      <c r="D121" s="51">
        <v>300</v>
      </c>
      <c r="E121" s="50">
        <v>8</v>
      </c>
      <c r="F121" s="49">
        <v>2.4</v>
      </c>
      <c r="G121" s="50">
        <v>30600</v>
      </c>
      <c r="H121" s="50">
        <v>102000</v>
      </c>
      <c r="I121" s="185">
        <v>244800</v>
      </c>
      <c r="J121" s="204">
        <f t="shared" si="4"/>
        <v>0.3</v>
      </c>
    </row>
    <row r="122" spans="1:10" x14ac:dyDescent="0.35">
      <c r="A122" s="53">
        <v>7</v>
      </c>
      <c r="B122" s="42">
        <v>17210108</v>
      </c>
      <c r="C122" s="125" t="s">
        <v>86</v>
      </c>
      <c r="D122" s="51">
        <v>300</v>
      </c>
      <c r="E122" s="50">
        <v>8</v>
      </c>
      <c r="F122" s="49">
        <v>2.4</v>
      </c>
      <c r="G122" s="50">
        <v>30600</v>
      </c>
      <c r="H122" s="50">
        <v>102000</v>
      </c>
      <c r="I122" s="185">
        <v>244800</v>
      </c>
      <c r="J122" s="204">
        <f t="shared" si="4"/>
        <v>0.3</v>
      </c>
    </row>
    <row r="123" spans="1:10" x14ac:dyDescent="0.35">
      <c r="A123" s="53">
        <v>8</v>
      </c>
      <c r="B123" s="42">
        <v>17210109</v>
      </c>
      <c r="C123" s="125" t="s">
        <v>85</v>
      </c>
      <c r="D123" s="51">
        <v>300</v>
      </c>
      <c r="E123" s="50">
        <v>8</v>
      </c>
      <c r="F123" s="49">
        <v>2.4</v>
      </c>
      <c r="G123" s="50">
        <v>33600</v>
      </c>
      <c r="H123" s="50">
        <v>112000</v>
      </c>
      <c r="I123" s="185">
        <v>268800</v>
      </c>
      <c r="J123" s="204">
        <f t="shared" si="4"/>
        <v>0.3</v>
      </c>
    </row>
    <row r="124" spans="1:10" ht="17.5" x14ac:dyDescent="0.35">
      <c r="A124" s="120"/>
      <c r="B124" s="120"/>
      <c r="C124" s="132" t="s">
        <v>84</v>
      </c>
      <c r="D124" s="120"/>
      <c r="E124" s="120"/>
      <c r="F124" s="116"/>
      <c r="G124" s="12"/>
      <c r="H124" s="12"/>
      <c r="I124" s="191"/>
      <c r="J124" s="204">
        <f t="shared" si="4"/>
        <v>0</v>
      </c>
    </row>
    <row r="125" spans="1:10" x14ac:dyDescent="0.35">
      <c r="A125" s="53">
        <v>1</v>
      </c>
      <c r="B125" s="53">
        <v>13010118</v>
      </c>
      <c r="C125" s="93" t="s">
        <v>83</v>
      </c>
      <c r="D125" s="48">
        <v>65</v>
      </c>
      <c r="E125" s="47">
        <v>72</v>
      </c>
      <c r="F125" s="122">
        <v>4.68</v>
      </c>
      <c r="G125" s="54">
        <v>5850</v>
      </c>
      <c r="H125" s="54">
        <v>90000</v>
      </c>
      <c r="I125" s="158">
        <v>421200</v>
      </c>
      <c r="J125" s="205">
        <f t="shared" ref="J125:J144" si="5">D125/1000*12</f>
        <v>0.78</v>
      </c>
    </row>
    <row r="126" spans="1:10" x14ac:dyDescent="0.35">
      <c r="A126" s="53">
        <v>2</v>
      </c>
      <c r="B126" s="131">
        <v>16060119</v>
      </c>
      <c r="C126" s="130" t="s">
        <v>82</v>
      </c>
      <c r="D126" s="129">
        <v>54</v>
      </c>
      <c r="E126" s="128">
        <v>72</v>
      </c>
      <c r="F126" s="127">
        <v>3.89</v>
      </c>
      <c r="G126" s="100">
        <v>5850</v>
      </c>
      <c r="H126" s="100">
        <v>108333.33333333333</v>
      </c>
      <c r="I126" s="186">
        <v>421200</v>
      </c>
      <c r="J126" s="205">
        <f t="shared" si="5"/>
        <v>0.64800000000000002</v>
      </c>
    </row>
    <row r="127" spans="1:10" x14ac:dyDescent="0.35">
      <c r="A127" s="53">
        <v>3</v>
      </c>
      <c r="B127" s="42">
        <v>18050102</v>
      </c>
      <c r="C127" s="126" t="s">
        <v>81</v>
      </c>
      <c r="D127" s="51">
        <v>60</v>
      </c>
      <c r="E127" s="50">
        <v>72</v>
      </c>
      <c r="F127" s="124">
        <v>4.32</v>
      </c>
      <c r="G127" s="100">
        <v>5850</v>
      </c>
      <c r="H127" s="100">
        <v>97500</v>
      </c>
      <c r="I127" s="186">
        <v>421200</v>
      </c>
      <c r="J127" s="205">
        <f t="shared" si="5"/>
        <v>0.72</v>
      </c>
    </row>
    <row r="128" spans="1:10" x14ac:dyDescent="0.35">
      <c r="A128" s="53">
        <v>4</v>
      </c>
      <c r="B128" s="42">
        <v>18050103</v>
      </c>
      <c r="C128" s="125" t="s">
        <v>80</v>
      </c>
      <c r="D128" s="51">
        <v>60</v>
      </c>
      <c r="E128" s="50">
        <v>72</v>
      </c>
      <c r="F128" s="124">
        <v>4.32</v>
      </c>
      <c r="G128" s="100">
        <v>5850</v>
      </c>
      <c r="H128" s="100">
        <v>97500</v>
      </c>
      <c r="I128" s="186">
        <v>421200</v>
      </c>
      <c r="J128" s="205">
        <f t="shared" si="5"/>
        <v>0.72</v>
      </c>
    </row>
    <row r="129" spans="1:10" x14ac:dyDescent="0.35">
      <c r="A129" s="53">
        <v>5</v>
      </c>
      <c r="B129" s="24">
        <v>13020107</v>
      </c>
      <c r="C129" s="82" t="s">
        <v>79</v>
      </c>
      <c r="D129" s="51">
        <v>65</v>
      </c>
      <c r="E129" s="50">
        <v>72</v>
      </c>
      <c r="F129" s="124">
        <v>4.68</v>
      </c>
      <c r="G129" s="100">
        <v>5850</v>
      </c>
      <c r="H129" s="100">
        <v>90000</v>
      </c>
      <c r="I129" s="186">
        <v>421200</v>
      </c>
      <c r="J129" s="205">
        <f t="shared" si="5"/>
        <v>0.78</v>
      </c>
    </row>
    <row r="130" spans="1:10" x14ac:dyDescent="0.35">
      <c r="A130" s="53">
        <v>6</v>
      </c>
      <c r="B130" s="131">
        <v>16070102</v>
      </c>
      <c r="C130" s="130" t="s">
        <v>78</v>
      </c>
      <c r="D130" s="129">
        <v>54</v>
      </c>
      <c r="E130" s="128">
        <v>72</v>
      </c>
      <c r="F130" s="127">
        <v>3.89</v>
      </c>
      <c r="G130" s="100">
        <v>5850</v>
      </c>
      <c r="H130" s="100">
        <v>108333.33333333333</v>
      </c>
      <c r="I130" s="186">
        <v>421200</v>
      </c>
      <c r="J130" s="205">
        <f t="shared" si="5"/>
        <v>0.64800000000000002</v>
      </c>
    </row>
    <row r="131" spans="1:10" x14ac:dyDescent="0.35">
      <c r="A131" s="53">
        <v>7</v>
      </c>
      <c r="B131" s="42">
        <v>18080101</v>
      </c>
      <c r="C131" s="126" t="s">
        <v>77</v>
      </c>
      <c r="D131" s="51">
        <v>60</v>
      </c>
      <c r="E131" s="50">
        <v>72</v>
      </c>
      <c r="F131" s="124">
        <v>4.32</v>
      </c>
      <c r="G131" s="100">
        <v>5850</v>
      </c>
      <c r="H131" s="100">
        <v>97500</v>
      </c>
      <c r="I131" s="186">
        <v>421200</v>
      </c>
      <c r="J131" s="205">
        <f t="shared" si="5"/>
        <v>0.72</v>
      </c>
    </row>
    <row r="132" spans="1:10" x14ac:dyDescent="0.35">
      <c r="A132" s="53">
        <v>8</v>
      </c>
      <c r="B132" s="42">
        <v>18080102</v>
      </c>
      <c r="C132" s="125" t="s">
        <v>76</v>
      </c>
      <c r="D132" s="51">
        <v>60</v>
      </c>
      <c r="E132" s="50">
        <v>72</v>
      </c>
      <c r="F132" s="124">
        <v>4.32</v>
      </c>
      <c r="G132" s="100">
        <v>5850</v>
      </c>
      <c r="H132" s="100">
        <v>97500</v>
      </c>
      <c r="I132" s="186">
        <v>421200</v>
      </c>
      <c r="J132" s="205">
        <f t="shared" si="5"/>
        <v>0.72</v>
      </c>
    </row>
    <row r="133" spans="1:10" x14ac:dyDescent="0.35">
      <c r="A133" s="53">
        <v>9</v>
      </c>
      <c r="B133" s="42">
        <v>13010119</v>
      </c>
      <c r="C133" s="125" t="s">
        <v>75</v>
      </c>
      <c r="D133" s="51">
        <v>60</v>
      </c>
      <c r="E133" s="50">
        <v>72</v>
      </c>
      <c r="F133" s="124">
        <v>4.32</v>
      </c>
      <c r="G133" s="50">
        <v>5850</v>
      </c>
      <c r="H133" s="50">
        <v>97500</v>
      </c>
      <c r="I133" s="185">
        <v>421200</v>
      </c>
      <c r="J133" s="205">
        <f t="shared" si="5"/>
        <v>0.72</v>
      </c>
    </row>
    <row r="134" spans="1:10" x14ac:dyDescent="0.35">
      <c r="A134" s="53">
        <v>10</v>
      </c>
      <c r="B134" s="42">
        <v>13010120</v>
      </c>
      <c r="C134" s="125" t="s">
        <v>74</v>
      </c>
      <c r="D134" s="51">
        <v>65</v>
      </c>
      <c r="E134" s="50">
        <v>72</v>
      </c>
      <c r="F134" s="124">
        <v>4.68</v>
      </c>
      <c r="G134" s="50">
        <v>5850</v>
      </c>
      <c r="H134" s="50">
        <v>90000</v>
      </c>
      <c r="I134" s="185">
        <v>421200</v>
      </c>
      <c r="J134" s="205">
        <f t="shared" si="5"/>
        <v>0.78</v>
      </c>
    </row>
    <row r="135" spans="1:10" x14ac:dyDescent="0.35">
      <c r="A135" s="53">
        <v>11</v>
      </c>
      <c r="B135" s="42">
        <v>13010121</v>
      </c>
      <c r="C135" s="125" t="s">
        <v>73</v>
      </c>
      <c r="D135" s="51">
        <v>65</v>
      </c>
      <c r="E135" s="50">
        <v>72</v>
      </c>
      <c r="F135" s="124">
        <v>4.68</v>
      </c>
      <c r="G135" s="50">
        <v>5850</v>
      </c>
      <c r="H135" s="50">
        <v>90000</v>
      </c>
      <c r="I135" s="185">
        <v>421200</v>
      </c>
      <c r="J135" s="205">
        <f t="shared" si="5"/>
        <v>0.78</v>
      </c>
    </row>
    <row r="136" spans="1:10" x14ac:dyDescent="0.35">
      <c r="A136" s="53">
        <v>12</v>
      </c>
      <c r="B136" s="42">
        <v>13020108</v>
      </c>
      <c r="C136" s="125" t="s">
        <v>72</v>
      </c>
      <c r="D136" s="51">
        <v>60</v>
      </c>
      <c r="E136" s="50">
        <v>72</v>
      </c>
      <c r="F136" s="124">
        <v>4.32</v>
      </c>
      <c r="G136" s="50">
        <v>5850</v>
      </c>
      <c r="H136" s="50">
        <v>97500</v>
      </c>
      <c r="I136" s="185">
        <v>421200</v>
      </c>
      <c r="J136" s="205">
        <f t="shared" si="5"/>
        <v>0.72</v>
      </c>
    </row>
    <row r="137" spans="1:10" x14ac:dyDescent="0.35">
      <c r="A137" s="53">
        <v>13</v>
      </c>
      <c r="B137" s="42">
        <v>13020109</v>
      </c>
      <c r="C137" s="125" t="s">
        <v>71</v>
      </c>
      <c r="D137" s="51">
        <v>65</v>
      </c>
      <c r="E137" s="50">
        <v>72</v>
      </c>
      <c r="F137" s="124">
        <v>4.68</v>
      </c>
      <c r="G137" s="50">
        <v>5850</v>
      </c>
      <c r="H137" s="50">
        <v>90000</v>
      </c>
      <c r="I137" s="185">
        <v>421200</v>
      </c>
      <c r="J137" s="205">
        <f t="shared" si="5"/>
        <v>0.78</v>
      </c>
    </row>
    <row r="138" spans="1:10" x14ac:dyDescent="0.35">
      <c r="A138" s="53">
        <v>14</v>
      </c>
      <c r="B138" s="42">
        <v>13020110</v>
      </c>
      <c r="C138" s="125" t="s">
        <v>70</v>
      </c>
      <c r="D138" s="51">
        <v>65</v>
      </c>
      <c r="E138" s="50">
        <v>72</v>
      </c>
      <c r="F138" s="124">
        <v>4.68</v>
      </c>
      <c r="G138" s="50">
        <v>5850</v>
      </c>
      <c r="H138" s="50">
        <v>90000</v>
      </c>
      <c r="I138" s="185">
        <v>421200</v>
      </c>
      <c r="J138" s="205">
        <f t="shared" si="5"/>
        <v>0.78</v>
      </c>
    </row>
    <row r="139" spans="1:10" x14ac:dyDescent="0.35">
      <c r="A139" s="53">
        <v>15</v>
      </c>
      <c r="B139" s="23">
        <v>13010122</v>
      </c>
      <c r="C139" s="123" t="s">
        <v>69</v>
      </c>
      <c r="D139" s="48">
        <v>60</v>
      </c>
      <c r="E139" s="47">
        <v>72</v>
      </c>
      <c r="F139" s="122">
        <v>4.32</v>
      </c>
      <c r="G139" s="47">
        <v>6505</v>
      </c>
      <c r="H139" s="121">
        <v>108416.66666666667</v>
      </c>
      <c r="I139" s="189">
        <v>468360</v>
      </c>
      <c r="J139" s="205">
        <f t="shared" si="5"/>
        <v>0.72</v>
      </c>
    </row>
    <row r="140" spans="1:10" x14ac:dyDescent="0.35">
      <c r="A140" s="53">
        <v>16</v>
      </c>
      <c r="B140" s="23">
        <v>13010123</v>
      </c>
      <c r="C140" s="123" t="s">
        <v>68</v>
      </c>
      <c r="D140" s="48">
        <v>60</v>
      </c>
      <c r="E140" s="47">
        <v>72</v>
      </c>
      <c r="F140" s="122">
        <v>4.32</v>
      </c>
      <c r="G140" s="47">
        <v>6505</v>
      </c>
      <c r="H140" s="121">
        <v>108416.66666666667</v>
      </c>
      <c r="I140" s="189">
        <v>468360</v>
      </c>
      <c r="J140" s="205">
        <f t="shared" si="5"/>
        <v>0.72</v>
      </c>
    </row>
    <row r="141" spans="1:10" x14ac:dyDescent="0.35">
      <c r="A141" s="53">
        <v>17</v>
      </c>
      <c r="B141" s="23">
        <v>13010124</v>
      </c>
      <c r="C141" s="123" t="s">
        <v>67</v>
      </c>
      <c r="D141" s="48">
        <v>60</v>
      </c>
      <c r="E141" s="47">
        <v>72</v>
      </c>
      <c r="F141" s="122">
        <v>4.32</v>
      </c>
      <c r="G141" s="47">
        <v>6505</v>
      </c>
      <c r="H141" s="121">
        <v>108416.66666666667</v>
      </c>
      <c r="I141" s="189">
        <v>468360</v>
      </c>
      <c r="J141" s="205">
        <f t="shared" si="5"/>
        <v>0.72</v>
      </c>
    </row>
    <row r="142" spans="1:10" x14ac:dyDescent="0.35">
      <c r="A142" s="53">
        <v>18</v>
      </c>
      <c r="B142" s="23">
        <v>13010125</v>
      </c>
      <c r="C142" s="123" t="s">
        <v>66</v>
      </c>
      <c r="D142" s="48">
        <v>60</v>
      </c>
      <c r="E142" s="47">
        <v>72</v>
      </c>
      <c r="F142" s="122">
        <v>4.32</v>
      </c>
      <c r="G142" s="47">
        <v>6505</v>
      </c>
      <c r="H142" s="121">
        <v>108416.66666666667</v>
      </c>
      <c r="I142" s="189">
        <v>468360</v>
      </c>
      <c r="J142" s="205">
        <f t="shared" si="5"/>
        <v>0.72</v>
      </c>
    </row>
    <row r="143" spans="1:10" x14ac:dyDescent="0.35">
      <c r="A143" s="53">
        <v>19</v>
      </c>
      <c r="B143" s="23">
        <v>18050104</v>
      </c>
      <c r="C143" s="123" t="s">
        <v>65</v>
      </c>
      <c r="D143" s="48">
        <v>55</v>
      </c>
      <c r="E143" s="47">
        <v>72</v>
      </c>
      <c r="F143" s="122">
        <v>3.96</v>
      </c>
      <c r="G143" s="47">
        <v>6505</v>
      </c>
      <c r="H143" s="121">
        <v>118272.72727272728</v>
      </c>
      <c r="I143" s="189">
        <v>468360</v>
      </c>
      <c r="J143" s="205">
        <f t="shared" si="5"/>
        <v>0.66</v>
      </c>
    </row>
    <row r="144" spans="1:10" x14ac:dyDescent="0.35">
      <c r="A144" s="53">
        <v>20</v>
      </c>
      <c r="B144" s="23">
        <v>18050105</v>
      </c>
      <c r="C144" s="123" t="s">
        <v>64</v>
      </c>
      <c r="D144" s="48">
        <v>55</v>
      </c>
      <c r="E144" s="47">
        <v>72</v>
      </c>
      <c r="F144" s="122">
        <v>3.96</v>
      </c>
      <c r="G144" s="47">
        <v>6505</v>
      </c>
      <c r="H144" s="121">
        <v>118272.72727272728</v>
      </c>
      <c r="I144" s="189">
        <v>468360</v>
      </c>
      <c r="J144" s="205">
        <f t="shared" si="5"/>
        <v>0.66</v>
      </c>
    </row>
    <row r="145" spans="1:13" ht="17.5" x14ac:dyDescent="0.35">
      <c r="A145" s="120"/>
      <c r="B145" s="120"/>
      <c r="C145" s="119" t="s">
        <v>63</v>
      </c>
      <c r="D145" s="118"/>
      <c r="E145" s="117"/>
      <c r="F145" s="116"/>
      <c r="G145" s="12"/>
      <c r="H145" s="12"/>
      <c r="I145" s="191"/>
      <c r="J145" s="204">
        <f t="shared" ref="J145:J176" si="6">D145/1000</f>
        <v>0</v>
      </c>
    </row>
    <row r="146" spans="1:13" x14ac:dyDescent="0.35">
      <c r="A146" s="53">
        <v>1</v>
      </c>
      <c r="B146" s="53">
        <v>20040101</v>
      </c>
      <c r="C146" s="93" t="s">
        <v>62</v>
      </c>
      <c r="D146" s="115">
        <v>570</v>
      </c>
      <c r="E146" s="54">
        <v>12</v>
      </c>
      <c r="F146" s="114">
        <v>6.84</v>
      </c>
      <c r="G146" s="54">
        <v>13600</v>
      </c>
      <c r="H146" s="54">
        <v>23859.649122807019</v>
      </c>
      <c r="I146" s="158">
        <v>163200</v>
      </c>
      <c r="J146" s="204">
        <f t="shared" si="6"/>
        <v>0.56999999999999995</v>
      </c>
    </row>
    <row r="147" spans="1:13" x14ac:dyDescent="0.35">
      <c r="J147" s="204">
        <f t="shared" si="6"/>
        <v>0</v>
      </c>
    </row>
    <row r="148" spans="1:13" s="37" customFormat="1" ht="24" customHeight="1" x14ac:dyDescent="0.4">
      <c r="A148" s="78"/>
      <c r="B148" s="78"/>
      <c r="C148" s="77" t="s">
        <v>61</v>
      </c>
      <c r="D148" s="75"/>
      <c r="E148" s="75"/>
      <c r="F148" s="76"/>
      <c r="G148" s="75"/>
      <c r="H148" s="75"/>
      <c r="I148" s="193"/>
      <c r="J148" s="204">
        <f t="shared" si="6"/>
        <v>0</v>
      </c>
    </row>
    <row r="149" spans="1:13" s="64" customFormat="1" ht="24" customHeight="1" x14ac:dyDescent="0.35">
      <c r="A149" s="13"/>
      <c r="B149" s="13"/>
      <c r="C149" s="14" t="s">
        <v>4</v>
      </c>
      <c r="D149" s="13"/>
      <c r="E149" s="13"/>
      <c r="F149" s="13"/>
      <c r="G149" s="12"/>
      <c r="H149" s="12"/>
      <c r="I149" s="191"/>
      <c r="J149" s="204">
        <f t="shared" si="6"/>
        <v>0</v>
      </c>
    </row>
    <row r="150" spans="1:13" ht="18.75" customHeight="1" x14ac:dyDescent="0.35">
      <c r="A150" s="53">
        <v>1</v>
      </c>
      <c r="B150" s="110">
        <v>12010510</v>
      </c>
      <c r="C150" s="22" t="s">
        <v>60</v>
      </c>
      <c r="D150" s="20">
        <v>225</v>
      </c>
      <c r="E150" s="20">
        <v>22</v>
      </c>
      <c r="F150" s="21">
        <v>4.95</v>
      </c>
      <c r="G150" s="20">
        <v>16350</v>
      </c>
      <c r="H150" s="20">
        <v>72666.666666666672</v>
      </c>
      <c r="I150" s="194">
        <v>359700</v>
      </c>
      <c r="J150" s="204">
        <f t="shared" si="6"/>
        <v>0.22500000000000001</v>
      </c>
    </row>
    <row r="151" spans="1:13" ht="18.75" customHeight="1" x14ac:dyDescent="0.35">
      <c r="A151" s="53">
        <v>2</v>
      </c>
      <c r="B151" s="23">
        <v>12010511</v>
      </c>
      <c r="C151" s="22" t="s">
        <v>60</v>
      </c>
      <c r="D151" s="20">
        <v>450</v>
      </c>
      <c r="E151" s="20">
        <v>12</v>
      </c>
      <c r="F151" s="21">
        <v>5.4</v>
      </c>
      <c r="G151" s="20">
        <v>32400</v>
      </c>
      <c r="H151" s="20">
        <v>72000</v>
      </c>
      <c r="I151" s="194">
        <v>388800</v>
      </c>
      <c r="J151" s="204">
        <f t="shared" si="6"/>
        <v>0.45</v>
      </c>
    </row>
    <row r="152" spans="1:13" ht="18.75" customHeight="1" x14ac:dyDescent="0.35">
      <c r="A152" s="53">
        <v>3</v>
      </c>
      <c r="B152" s="110">
        <v>12010512</v>
      </c>
      <c r="C152" s="22" t="s">
        <v>60</v>
      </c>
      <c r="D152" s="20">
        <v>900</v>
      </c>
      <c r="E152" s="20">
        <v>6</v>
      </c>
      <c r="F152" s="21">
        <v>5.4</v>
      </c>
      <c r="G152" s="20">
        <v>57525</v>
      </c>
      <c r="H152" s="20">
        <v>63916.666666666664</v>
      </c>
      <c r="I152" s="194">
        <v>345150</v>
      </c>
      <c r="J152" s="204">
        <f t="shared" si="6"/>
        <v>0.9</v>
      </c>
      <c r="L152" s="1">
        <v>13010502</v>
      </c>
      <c r="M152" t="s">
        <v>48</v>
      </c>
    </row>
    <row r="153" spans="1:13" ht="18.75" customHeight="1" x14ac:dyDescent="0.35">
      <c r="A153" s="53">
        <v>4</v>
      </c>
      <c r="B153" s="110">
        <v>12010517</v>
      </c>
      <c r="C153" s="22" t="s">
        <v>59</v>
      </c>
      <c r="D153" s="20">
        <v>225</v>
      </c>
      <c r="E153" s="20">
        <v>22</v>
      </c>
      <c r="F153" s="21">
        <v>4.95</v>
      </c>
      <c r="G153" s="20">
        <v>18125.000000000004</v>
      </c>
      <c r="H153" s="20">
        <v>80555.555555555562</v>
      </c>
      <c r="I153" s="194">
        <v>398750.00000000006</v>
      </c>
      <c r="J153" s="204">
        <f t="shared" si="6"/>
        <v>0.22500000000000001</v>
      </c>
    </row>
    <row r="154" spans="1:13" ht="18.75" customHeight="1" x14ac:dyDescent="0.35">
      <c r="A154" s="53">
        <v>5</v>
      </c>
      <c r="B154" s="23">
        <v>12010518</v>
      </c>
      <c r="C154" s="22" t="s">
        <v>59</v>
      </c>
      <c r="D154" s="20">
        <v>450</v>
      </c>
      <c r="E154" s="20">
        <v>12</v>
      </c>
      <c r="F154" s="21">
        <v>5.4</v>
      </c>
      <c r="G154" s="20">
        <v>34750.000000000007</v>
      </c>
      <c r="H154" s="20">
        <v>77222.222222222234</v>
      </c>
      <c r="I154" s="194">
        <v>417000.00000000012</v>
      </c>
      <c r="J154" s="204">
        <f t="shared" si="6"/>
        <v>0.45</v>
      </c>
    </row>
    <row r="155" spans="1:13" ht="18.75" customHeight="1" x14ac:dyDescent="0.35">
      <c r="A155" s="53">
        <v>6</v>
      </c>
      <c r="B155" s="23">
        <v>12010519</v>
      </c>
      <c r="C155" s="22" t="s">
        <v>59</v>
      </c>
      <c r="D155" s="20">
        <v>900</v>
      </c>
      <c r="E155" s="20">
        <v>6</v>
      </c>
      <c r="F155" s="21">
        <v>5.4</v>
      </c>
      <c r="G155" s="20">
        <v>63699.999999999993</v>
      </c>
      <c r="H155" s="20">
        <v>70777.777777777766</v>
      </c>
      <c r="I155" s="194">
        <v>382199.99999999994</v>
      </c>
      <c r="J155" s="204">
        <f t="shared" si="6"/>
        <v>0.9</v>
      </c>
    </row>
    <row r="156" spans="1:13" ht="18.75" customHeight="1" x14ac:dyDescent="0.35">
      <c r="A156" s="53">
        <v>7</v>
      </c>
      <c r="B156" s="113">
        <v>12010516</v>
      </c>
      <c r="C156" s="109" t="s">
        <v>58</v>
      </c>
      <c r="D156" s="20">
        <v>200</v>
      </c>
      <c r="E156" s="20">
        <v>30</v>
      </c>
      <c r="F156" s="112">
        <v>6</v>
      </c>
      <c r="G156" s="20">
        <v>14800</v>
      </c>
      <c r="H156" s="20">
        <v>74000</v>
      </c>
      <c r="I156" s="194">
        <v>444000</v>
      </c>
      <c r="J156" s="204">
        <f t="shared" si="6"/>
        <v>0.2</v>
      </c>
    </row>
    <row r="157" spans="1:13" ht="18.75" customHeight="1" x14ac:dyDescent="0.35">
      <c r="A157" s="53">
        <v>8</v>
      </c>
      <c r="B157" s="111">
        <v>12010515</v>
      </c>
      <c r="C157" s="109" t="s">
        <v>28</v>
      </c>
      <c r="D157" s="20">
        <v>450</v>
      </c>
      <c r="E157" s="20">
        <v>12</v>
      </c>
      <c r="F157" s="21">
        <v>5.4</v>
      </c>
      <c r="G157" s="20">
        <v>32250.000000000004</v>
      </c>
      <c r="H157" s="20">
        <v>71666.666666666672</v>
      </c>
      <c r="I157" s="194">
        <v>387000.00000000006</v>
      </c>
      <c r="J157" s="204">
        <f t="shared" si="6"/>
        <v>0.45</v>
      </c>
    </row>
    <row r="158" spans="1:13" ht="18.75" customHeight="1" x14ac:dyDescent="0.35">
      <c r="A158" s="53">
        <v>9</v>
      </c>
      <c r="B158" s="110">
        <v>12010513</v>
      </c>
      <c r="C158" s="109" t="s">
        <v>57</v>
      </c>
      <c r="D158" s="20">
        <v>225</v>
      </c>
      <c r="E158" s="20">
        <v>22</v>
      </c>
      <c r="F158" s="21">
        <v>4.95</v>
      </c>
      <c r="G158" s="20">
        <v>16650</v>
      </c>
      <c r="H158" s="20">
        <v>74000</v>
      </c>
      <c r="I158" s="194">
        <v>366300</v>
      </c>
      <c r="J158" s="204">
        <f t="shared" si="6"/>
        <v>0.22500000000000001</v>
      </c>
    </row>
    <row r="159" spans="1:13" ht="18.75" customHeight="1" x14ac:dyDescent="0.35">
      <c r="A159" s="53">
        <v>10</v>
      </c>
      <c r="B159" s="110">
        <v>12010514</v>
      </c>
      <c r="C159" s="109" t="s">
        <v>57</v>
      </c>
      <c r="D159" s="20">
        <v>450</v>
      </c>
      <c r="E159" s="20">
        <v>12</v>
      </c>
      <c r="F159" s="21">
        <v>5.4</v>
      </c>
      <c r="G159" s="20">
        <v>32250.000000000004</v>
      </c>
      <c r="H159" s="20">
        <v>71666.666666666672</v>
      </c>
      <c r="I159" s="194">
        <v>387000.00000000006</v>
      </c>
      <c r="J159" s="204">
        <f t="shared" si="6"/>
        <v>0.45</v>
      </c>
    </row>
    <row r="160" spans="1:13" ht="18.75" customHeight="1" x14ac:dyDescent="0.35">
      <c r="A160" s="53">
        <v>11</v>
      </c>
      <c r="B160" s="84">
        <v>12130504</v>
      </c>
      <c r="C160" s="31" t="s">
        <v>56</v>
      </c>
      <c r="D160" s="100">
        <v>315</v>
      </c>
      <c r="E160" s="100">
        <v>20</v>
      </c>
      <c r="F160" s="82">
        <v>6.3</v>
      </c>
      <c r="G160" s="29">
        <v>18400</v>
      </c>
      <c r="H160" s="29">
        <v>58412.69841269841</v>
      </c>
      <c r="I160" s="195">
        <v>368000</v>
      </c>
      <c r="J160" s="204">
        <f t="shared" si="6"/>
        <v>0.315</v>
      </c>
    </row>
    <row r="161" spans="1:13" ht="18.75" customHeight="1" x14ac:dyDescent="0.35">
      <c r="A161" s="53">
        <v>12</v>
      </c>
      <c r="B161" s="23">
        <v>12010520</v>
      </c>
      <c r="C161" s="22" t="s">
        <v>55</v>
      </c>
      <c r="D161" s="47">
        <v>450</v>
      </c>
      <c r="E161" s="47">
        <v>12</v>
      </c>
      <c r="F161" s="108">
        <v>5.4</v>
      </c>
      <c r="G161" s="20">
        <v>32250.000000000004</v>
      </c>
      <c r="H161" s="20">
        <v>71666.666666666672</v>
      </c>
      <c r="I161" s="194">
        <v>387000.00000000006</v>
      </c>
      <c r="J161" s="204">
        <f t="shared" si="6"/>
        <v>0.45</v>
      </c>
    </row>
    <row r="162" spans="1:13" ht="18.75" customHeight="1" x14ac:dyDescent="0.35">
      <c r="A162" s="53">
        <v>13</v>
      </c>
      <c r="B162" s="23">
        <v>12010521</v>
      </c>
      <c r="C162" s="22" t="s">
        <v>54</v>
      </c>
      <c r="D162" s="47">
        <v>450</v>
      </c>
      <c r="E162" s="47">
        <v>12</v>
      </c>
      <c r="F162" s="108">
        <v>5.4</v>
      </c>
      <c r="G162" s="20">
        <v>34750.000000000007</v>
      </c>
      <c r="H162" s="20">
        <v>77222.222222222234</v>
      </c>
      <c r="I162" s="194">
        <v>417000.00000000012</v>
      </c>
      <c r="J162" s="204">
        <f t="shared" si="6"/>
        <v>0.45</v>
      </c>
    </row>
    <row r="163" spans="1:13" ht="18.75" customHeight="1" x14ac:dyDescent="0.35">
      <c r="A163" s="53">
        <v>14</v>
      </c>
      <c r="B163" s="42">
        <v>12010606</v>
      </c>
      <c r="C163" s="41" t="s">
        <v>53</v>
      </c>
      <c r="D163" s="50">
        <v>225</v>
      </c>
      <c r="E163" s="50">
        <v>25</v>
      </c>
      <c r="F163" s="50">
        <v>5625</v>
      </c>
      <c r="G163" s="39">
        <v>16350.075000000001</v>
      </c>
      <c r="H163" s="39">
        <v>72667</v>
      </c>
      <c r="I163" s="196">
        <v>408751.875</v>
      </c>
      <c r="J163" s="204">
        <f t="shared" si="6"/>
        <v>0.22500000000000001</v>
      </c>
    </row>
    <row r="164" spans="1:13" ht="18.75" customHeight="1" x14ac:dyDescent="0.35">
      <c r="A164" s="53">
        <v>15</v>
      </c>
      <c r="B164" s="42">
        <v>12150501</v>
      </c>
      <c r="C164" s="41" t="s">
        <v>52</v>
      </c>
      <c r="D164" s="50">
        <v>300</v>
      </c>
      <c r="E164" s="50">
        <v>10</v>
      </c>
      <c r="F164" s="107">
        <v>3</v>
      </c>
      <c r="G164" s="39">
        <v>23600.000100000001</v>
      </c>
      <c r="H164" s="39">
        <v>78666.667000000001</v>
      </c>
      <c r="I164" s="196">
        <v>236000.00100000002</v>
      </c>
      <c r="J164" s="204">
        <f t="shared" si="6"/>
        <v>0.3</v>
      </c>
    </row>
    <row r="165" spans="1:13" ht="18.75" customHeight="1" x14ac:dyDescent="0.35">
      <c r="A165" s="53">
        <v>16</v>
      </c>
      <c r="B165" s="42">
        <v>12010509</v>
      </c>
      <c r="C165" s="41" t="s">
        <v>51</v>
      </c>
      <c r="D165" s="50">
        <v>450</v>
      </c>
      <c r="E165" s="50">
        <v>10</v>
      </c>
      <c r="F165" s="107">
        <v>4.5</v>
      </c>
      <c r="G165" s="39">
        <v>32400</v>
      </c>
      <c r="H165" s="39">
        <v>72000</v>
      </c>
      <c r="I165" s="196">
        <v>324000</v>
      </c>
      <c r="J165" s="204">
        <f t="shared" si="6"/>
        <v>0.45</v>
      </c>
    </row>
    <row r="166" spans="1:13" s="64" customFormat="1" ht="24" customHeight="1" x14ac:dyDescent="0.35">
      <c r="A166" s="105"/>
      <c r="B166" s="105"/>
      <c r="C166" s="106" t="s">
        <v>9</v>
      </c>
      <c r="D166" s="105"/>
      <c r="E166" s="105"/>
      <c r="F166" s="105"/>
      <c r="G166" s="38"/>
      <c r="H166" s="38"/>
      <c r="I166" s="197"/>
      <c r="J166" s="204">
        <f t="shared" si="6"/>
        <v>0</v>
      </c>
    </row>
    <row r="167" spans="1:13" ht="18.75" customHeight="1" x14ac:dyDescent="0.35">
      <c r="A167" s="90">
        <v>1</v>
      </c>
      <c r="B167" s="90">
        <v>13010514</v>
      </c>
      <c r="C167" s="104" t="s">
        <v>50</v>
      </c>
      <c r="D167" s="103">
        <v>1000</v>
      </c>
      <c r="E167" s="102">
        <v>10</v>
      </c>
      <c r="F167" s="101">
        <v>10</v>
      </c>
      <c r="G167" s="44">
        <v>45400</v>
      </c>
      <c r="H167" s="44">
        <v>45400</v>
      </c>
      <c r="I167" s="198">
        <v>454000</v>
      </c>
      <c r="J167" s="204">
        <f t="shared" si="6"/>
        <v>1</v>
      </c>
    </row>
    <row r="168" spans="1:13" ht="18.75" customHeight="1" x14ac:dyDescent="0.35">
      <c r="A168" s="90">
        <v>2</v>
      </c>
      <c r="B168" s="53">
        <v>13030501</v>
      </c>
      <c r="C168" s="52" t="s">
        <v>49</v>
      </c>
      <c r="D168" s="44">
        <v>200</v>
      </c>
      <c r="E168" s="95">
        <v>25</v>
      </c>
      <c r="F168" s="45">
        <v>5</v>
      </c>
      <c r="G168" s="44">
        <v>11625</v>
      </c>
      <c r="H168" s="44">
        <v>58125</v>
      </c>
      <c r="I168" s="198">
        <v>290625</v>
      </c>
      <c r="J168" s="204">
        <f t="shared" si="6"/>
        <v>0.2</v>
      </c>
    </row>
    <row r="169" spans="1:13" ht="18.75" customHeight="1" x14ac:dyDescent="0.35">
      <c r="A169" s="90">
        <v>3</v>
      </c>
      <c r="B169" s="53">
        <v>13030502</v>
      </c>
      <c r="C169" s="52" t="s">
        <v>49</v>
      </c>
      <c r="D169" s="44">
        <v>500</v>
      </c>
      <c r="E169" s="95">
        <v>10</v>
      </c>
      <c r="F169" s="45">
        <v>5</v>
      </c>
      <c r="G169" s="44">
        <v>26775</v>
      </c>
      <c r="H169" s="44">
        <v>53550</v>
      </c>
      <c r="I169" s="198">
        <v>267750</v>
      </c>
      <c r="J169" s="204">
        <f t="shared" si="6"/>
        <v>0.5</v>
      </c>
      <c r="L169" s="1">
        <v>13010502</v>
      </c>
      <c r="M169" t="s">
        <v>48</v>
      </c>
    </row>
    <row r="170" spans="1:13" ht="18.75" customHeight="1" x14ac:dyDescent="0.35">
      <c r="A170" s="90">
        <v>4</v>
      </c>
      <c r="B170" s="53">
        <v>13010510</v>
      </c>
      <c r="C170" s="52" t="s">
        <v>47</v>
      </c>
      <c r="D170" s="44">
        <v>75</v>
      </c>
      <c r="E170" s="95">
        <v>80</v>
      </c>
      <c r="F170" s="45">
        <v>6</v>
      </c>
      <c r="G170" s="44">
        <v>4024.9999999999995</v>
      </c>
      <c r="H170" s="44">
        <v>53666.666666666664</v>
      </c>
      <c r="I170" s="198">
        <v>321999.99999999994</v>
      </c>
      <c r="J170" s="204">
        <f t="shared" si="6"/>
        <v>7.4999999999999997E-2</v>
      </c>
    </row>
    <row r="171" spans="1:13" ht="18.75" customHeight="1" x14ac:dyDescent="0.35">
      <c r="A171" s="90">
        <v>5</v>
      </c>
      <c r="B171" s="24">
        <v>13010521</v>
      </c>
      <c r="C171" s="31" t="s">
        <v>46</v>
      </c>
      <c r="D171" s="91">
        <v>150</v>
      </c>
      <c r="E171" s="100">
        <v>45</v>
      </c>
      <c r="F171" s="99">
        <v>6.75</v>
      </c>
      <c r="G171" s="29">
        <v>8300</v>
      </c>
      <c r="H171" s="29">
        <v>55333.333333333336</v>
      </c>
      <c r="I171" s="195">
        <v>373500</v>
      </c>
      <c r="J171" s="204">
        <f t="shared" si="6"/>
        <v>0.15</v>
      </c>
      <c r="L171" s="1">
        <v>130105021</v>
      </c>
    </row>
    <row r="172" spans="1:13" ht="18.75" customHeight="1" x14ac:dyDescent="0.35">
      <c r="A172" s="90">
        <v>6</v>
      </c>
      <c r="B172" s="53">
        <v>13010513</v>
      </c>
      <c r="C172" s="52" t="s">
        <v>45</v>
      </c>
      <c r="D172" s="44">
        <v>375</v>
      </c>
      <c r="E172" s="95">
        <v>15</v>
      </c>
      <c r="F172" s="98">
        <v>5.625</v>
      </c>
      <c r="G172" s="44">
        <v>17850</v>
      </c>
      <c r="H172" s="44">
        <v>47600</v>
      </c>
      <c r="I172" s="198">
        <v>267750</v>
      </c>
      <c r="J172" s="204">
        <f t="shared" si="6"/>
        <v>0.375</v>
      </c>
    </row>
    <row r="173" spans="1:13" ht="18.75" customHeight="1" x14ac:dyDescent="0.35">
      <c r="A173" s="90">
        <v>7</v>
      </c>
      <c r="B173" s="53">
        <v>13070501</v>
      </c>
      <c r="C173" s="52" t="s">
        <v>44</v>
      </c>
      <c r="D173" s="44">
        <v>150</v>
      </c>
      <c r="E173" s="95">
        <v>45</v>
      </c>
      <c r="F173" s="97">
        <v>6.75</v>
      </c>
      <c r="G173" s="44">
        <v>14500</v>
      </c>
      <c r="H173" s="44">
        <v>96666.666666666672</v>
      </c>
      <c r="I173" s="198">
        <v>652500</v>
      </c>
      <c r="J173" s="204">
        <f t="shared" si="6"/>
        <v>0.15</v>
      </c>
    </row>
    <row r="174" spans="1:13" ht="18.75" customHeight="1" x14ac:dyDescent="0.35">
      <c r="A174" s="90">
        <v>8</v>
      </c>
      <c r="B174" s="53">
        <v>13070502</v>
      </c>
      <c r="C174" s="52" t="s">
        <v>43</v>
      </c>
      <c r="D174" s="44">
        <v>375</v>
      </c>
      <c r="E174" s="95">
        <v>24</v>
      </c>
      <c r="F174" s="97">
        <v>9</v>
      </c>
      <c r="G174" s="44">
        <v>33300</v>
      </c>
      <c r="H174" s="44">
        <v>88800</v>
      </c>
      <c r="I174" s="198">
        <v>799200</v>
      </c>
      <c r="J174" s="204">
        <f t="shared" si="6"/>
        <v>0.375</v>
      </c>
    </row>
    <row r="175" spans="1:13" ht="18.75" customHeight="1" x14ac:dyDescent="0.35">
      <c r="A175" s="90">
        <v>9</v>
      </c>
      <c r="B175" s="53">
        <v>13070505</v>
      </c>
      <c r="C175" s="96" t="s">
        <v>42</v>
      </c>
      <c r="D175" s="44">
        <v>375</v>
      </c>
      <c r="E175" s="95">
        <v>15.000133333333334</v>
      </c>
      <c r="F175" s="93">
        <v>5.6250499999999999</v>
      </c>
      <c r="G175" s="44">
        <v>29200</v>
      </c>
      <c r="H175" s="44">
        <v>77866.666666666672</v>
      </c>
      <c r="I175" s="198">
        <v>438003.89333333337</v>
      </c>
      <c r="J175" s="204">
        <f t="shared" si="6"/>
        <v>0.375</v>
      </c>
      <c r="K175" s="79"/>
    </row>
    <row r="176" spans="1:13" ht="18.75" customHeight="1" x14ac:dyDescent="0.35">
      <c r="A176" s="90">
        <v>10</v>
      </c>
      <c r="B176" s="23">
        <v>13110504</v>
      </c>
      <c r="C176" s="22" t="s">
        <v>41</v>
      </c>
      <c r="D176" s="20">
        <v>500</v>
      </c>
      <c r="E176" s="95">
        <v>10</v>
      </c>
      <c r="F176" s="94">
        <v>5</v>
      </c>
      <c r="G176" s="44">
        <v>56350</v>
      </c>
      <c r="H176" s="44">
        <v>112700</v>
      </c>
      <c r="I176" s="198">
        <v>563500</v>
      </c>
      <c r="J176" s="204">
        <f t="shared" si="6"/>
        <v>0.5</v>
      </c>
      <c r="K176" s="79"/>
    </row>
    <row r="177" spans="1:14" ht="18.75" customHeight="1" x14ac:dyDescent="0.35">
      <c r="A177" s="90">
        <v>11</v>
      </c>
      <c r="B177" s="81">
        <v>13070506</v>
      </c>
      <c r="C177" s="52" t="s">
        <v>40</v>
      </c>
      <c r="D177" s="54">
        <v>375</v>
      </c>
      <c r="E177" s="54">
        <v>15</v>
      </c>
      <c r="F177" s="93">
        <v>5.625</v>
      </c>
      <c r="G177" s="44">
        <v>33775</v>
      </c>
      <c r="H177" s="44">
        <v>90066.666666666672</v>
      </c>
      <c r="I177" s="198">
        <v>506625</v>
      </c>
      <c r="J177" s="204">
        <f t="shared" ref="J177:J208" si="7">D177/1000</f>
        <v>0.375</v>
      </c>
      <c r="K177" s="79"/>
    </row>
    <row r="178" spans="1:14" ht="18.75" customHeight="1" x14ac:dyDescent="0.35">
      <c r="A178" s="90">
        <v>12</v>
      </c>
      <c r="B178" s="92">
        <v>13010523</v>
      </c>
      <c r="C178" s="41" t="s">
        <v>39</v>
      </c>
      <c r="D178" s="91">
        <v>300</v>
      </c>
      <c r="E178" s="50">
        <v>20</v>
      </c>
      <c r="F178" s="49">
        <v>6</v>
      </c>
      <c r="G178" s="39">
        <v>14310</v>
      </c>
      <c r="H178" s="29">
        <v>47700</v>
      </c>
      <c r="I178" s="196">
        <v>286200</v>
      </c>
      <c r="J178" s="204">
        <f t="shared" si="7"/>
        <v>0.3</v>
      </c>
      <c r="K178" s="79"/>
      <c r="N178" s="1" t="s">
        <v>38</v>
      </c>
    </row>
    <row r="179" spans="1:14" s="88" customFormat="1" ht="18.75" customHeight="1" x14ac:dyDescent="0.35">
      <c r="A179" s="90">
        <v>13</v>
      </c>
      <c r="B179" s="86">
        <v>13010524</v>
      </c>
      <c r="C179" s="22" t="s">
        <v>37</v>
      </c>
      <c r="D179" s="66">
        <v>500</v>
      </c>
      <c r="E179" s="47">
        <v>10</v>
      </c>
      <c r="F179" s="46">
        <v>5</v>
      </c>
      <c r="G179" s="20">
        <v>25750</v>
      </c>
      <c r="H179" s="20">
        <v>51500</v>
      </c>
      <c r="I179" s="194">
        <v>257500</v>
      </c>
      <c r="J179" s="204">
        <f t="shared" si="7"/>
        <v>0.5</v>
      </c>
      <c r="K179" s="89"/>
    </row>
    <row r="180" spans="1:14" ht="18.75" customHeight="1" x14ac:dyDescent="0.35">
      <c r="A180" s="87">
        <v>14</v>
      </c>
      <c r="B180" s="86">
        <v>13010525</v>
      </c>
      <c r="C180" s="22" t="s">
        <v>36</v>
      </c>
      <c r="D180" s="66">
        <v>500</v>
      </c>
      <c r="E180" s="47">
        <v>10</v>
      </c>
      <c r="F180" s="46">
        <v>5</v>
      </c>
      <c r="G180" s="20">
        <v>25750</v>
      </c>
      <c r="H180" s="20">
        <v>51500</v>
      </c>
      <c r="I180" s="194">
        <v>257500</v>
      </c>
      <c r="J180" s="204">
        <f t="shared" si="7"/>
        <v>0.5</v>
      </c>
      <c r="K180" s="79"/>
    </row>
    <row r="181" spans="1:14" ht="24" customHeight="1" x14ac:dyDescent="0.35">
      <c r="A181" s="12"/>
      <c r="B181" s="12"/>
      <c r="C181" s="85" t="s">
        <v>35</v>
      </c>
      <c r="D181" s="12"/>
      <c r="E181" s="12"/>
      <c r="F181" s="12"/>
      <c r="G181" s="12"/>
      <c r="H181" s="12"/>
      <c r="I181" s="191"/>
      <c r="J181" s="204">
        <f t="shared" si="7"/>
        <v>0</v>
      </c>
      <c r="K181" s="79"/>
    </row>
    <row r="182" spans="1:14" ht="18.75" customHeight="1" x14ac:dyDescent="0.35">
      <c r="A182" s="24">
        <v>1</v>
      </c>
      <c r="B182" s="84">
        <v>16060503</v>
      </c>
      <c r="C182" s="31" t="s">
        <v>34</v>
      </c>
      <c r="D182" s="29">
        <v>180</v>
      </c>
      <c r="E182" s="83">
        <v>30</v>
      </c>
      <c r="F182" s="82">
        <v>5.4</v>
      </c>
      <c r="G182" s="29">
        <v>13150</v>
      </c>
      <c r="H182" s="29">
        <v>73055.555555555562</v>
      </c>
      <c r="I182" s="195">
        <v>394500</v>
      </c>
      <c r="J182" s="204">
        <f t="shared" si="7"/>
        <v>0.18</v>
      </c>
      <c r="K182" s="79"/>
    </row>
    <row r="183" spans="1:14" ht="18.75" customHeight="1" x14ac:dyDescent="0.35">
      <c r="A183" s="53">
        <v>2</v>
      </c>
      <c r="B183" s="81">
        <v>16060502</v>
      </c>
      <c r="C183" s="52" t="s">
        <v>33</v>
      </c>
      <c r="D183" s="66">
        <v>900</v>
      </c>
      <c r="E183" s="54">
        <v>12</v>
      </c>
      <c r="F183" s="80">
        <v>10.8</v>
      </c>
      <c r="G183" s="44">
        <v>54675</v>
      </c>
      <c r="H183" s="44">
        <v>60750</v>
      </c>
      <c r="I183" s="198">
        <v>656100</v>
      </c>
      <c r="J183" s="204">
        <f t="shared" si="7"/>
        <v>0.9</v>
      </c>
      <c r="K183" s="79"/>
    </row>
    <row r="184" spans="1:14" ht="24" customHeight="1" x14ac:dyDescent="0.4">
      <c r="A184" s="78"/>
      <c r="B184" s="78"/>
      <c r="C184" s="77" t="s">
        <v>32</v>
      </c>
      <c r="D184" s="75"/>
      <c r="E184" s="75"/>
      <c r="F184" s="76"/>
      <c r="G184" s="75"/>
      <c r="H184" s="75"/>
      <c r="I184" s="193"/>
      <c r="J184" s="204">
        <f t="shared" si="7"/>
        <v>0</v>
      </c>
    </row>
    <row r="185" spans="1:14" ht="24" customHeight="1" x14ac:dyDescent="0.35">
      <c r="A185" s="13"/>
      <c r="B185" s="13"/>
      <c r="C185" s="14" t="s">
        <v>4</v>
      </c>
      <c r="D185" s="13"/>
      <c r="E185" s="13"/>
      <c r="F185" s="13"/>
      <c r="G185" s="12"/>
      <c r="H185" s="12"/>
      <c r="I185" s="191"/>
      <c r="J185" s="204">
        <f t="shared" si="7"/>
        <v>0</v>
      </c>
    </row>
    <row r="186" spans="1:14" ht="18.75" customHeight="1" x14ac:dyDescent="0.35">
      <c r="A186" s="68">
        <v>1</v>
      </c>
      <c r="B186" s="68">
        <v>12012501</v>
      </c>
      <c r="C186" s="67" t="s">
        <v>31</v>
      </c>
      <c r="D186" s="74">
        <v>250</v>
      </c>
      <c r="E186" s="74">
        <v>20</v>
      </c>
      <c r="F186" s="73">
        <v>5</v>
      </c>
      <c r="G186" s="44">
        <v>12450</v>
      </c>
      <c r="H186" s="44">
        <v>49800</v>
      </c>
      <c r="I186" s="198">
        <v>249000</v>
      </c>
      <c r="J186" s="204">
        <f t="shared" si="7"/>
        <v>0.25</v>
      </c>
    </row>
    <row r="187" spans="1:14" ht="18.75" customHeight="1" x14ac:dyDescent="0.35">
      <c r="A187" s="68">
        <v>2</v>
      </c>
      <c r="B187" s="68">
        <v>12012502</v>
      </c>
      <c r="C187" s="67" t="s">
        <v>31</v>
      </c>
      <c r="D187" s="74">
        <v>500</v>
      </c>
      <c r="E187" s="74">
        <v>10</v>
      </c>
      <c r="F187" s="73">
        <v>5</v>
      </c>
      <c r="G187" s="44">
        <v>23875</v>
      </c>
      <c r="H187" s="44">
        <v>47750</v>
      </c>
      <c r="I187" s="198">
        <v>238750</v>
      </c>
      <c r="J187" s="204">
        <f t="shared" si="7"/>
        <v>0.5</v>
      </c>
    </row>
    <row r="188" spans="1:14" ht="18.75" customHeight="1" x14ac:dyDescent="0.35">
      <c r="A188" s="68">
        <v>3</v>
      </c>
      <c r="B188" s="68">
        <v>12012503</v>
      </c>
      <c r="C188" s="67" t="s">
        <v>31</v>
      </c>
      <c r="D188" s="74">
        <v>1000</v>
      </c>
      <c r="E188" s="74">
        <v>5</v>
      </c>
      <c r="F188" s="73">
        <v>5</v>
      </c>
      <c r="G188" s="44">
        <v>45800</v>
      </c>
      <c r="H188" s="44">
        <v>45800</v>
      </c>
      <c r="I188" s="198">
        <v>229000</v>
      </c>
      <c r="J188" s="204">
        <f t="shared" si="7"/>
        <v>1</v>
      </c>
    </row>
    <row r="189" spans="1:14" ht="18.75" customHeight="1" x14ac:dyDescent="0.35">
      <c r="A189" s="68">
        <v>4</v>
      </c>
      <c r="B189" s="68">
        <v>12032501</v>
      </c>
      <c r="C189" s="67" t="s">
        <v>30</v>
      </c>
      <c r="D189" s="74">
        <v>250</v>
      </c>
      <c r="E189" s="74">
        <v>20</v>
      </c>
      <c r="F189" s="73">
        <v>5</v>
      </c>
      <c r="G189" s="44">
        <v>12450</v>
      </c>
      <c r="H189" s="44">
        <v>49800</v>
      </c>
      <c r="I189" s="198">
        <v>249000</v>
      </c>
      <c r="J189" s="204">
        <f t="shared" si="7"/>
        <v>0.25</v>
      </c>
    </row>
    <row r="190" spans="1:14" ht="18.75" customHeight="1" x14ac:dyDescent="0.35">
      <c r="A190" s="68">
        <v>5</v>
      </c>
      <c r="B190" s="68">
        <v>12032502</v>
      </c>
      <c r="C190" s="67" t="s">
        <v>30</v>
      </c>
      <c r="D190" s="74">
        <v>500</v>
      </c>
      <c r="E190" s="74">
        <v>10</v>
      </c>
      <c r="F190" s="73">
        <v>5</v>
      </c>
      <c r="G190" s="44">
        <v>23875</v>
      </c>
      <c r="H190" s="44">
        <v>47750</v>
      </c>
      <c r="I190" s="198">
        <v>238750</v>
      </c>
      <c r="J190" s="204">
        <f t="shared" si="7"/>
        <v>0.5</v>
      </c>
    </row>
    <row r="191" spans="1:14" ht="18.75" customHeight="1" x14ac:dyDescent="0.35">
      <c r="A191" s="68">
        <v>6</v>
      </c>
      <c r="B191" s="68">
        <v>12032503</v>
      </c>
      <c r="C191" s="67" t="s">
        <v>30</v>
      </c>
      <c r="D191" s="74">
        <v>1000</v>
      </c>
      <c r="E191" s="74">
        <v>5</v>
      </c>
      <c r="F191" s="73">
        <v>5</v>
      </c>
      <c r="G191" s="44">
        <v>45800</v>
      </c>
      <c r="H191" s="44">
        <v>45800</v>
      </c>
      <c r="I191" s="198">
        <v>229000</v>
      </c>
      <c r="J191" s="204">
        <f t="shared" si="7"/>
        <v>1</v>
      </c>
    </row>
    <row r="192" spans="1:14" ht="18.75" customHeight="1" x14ac:dyDescent="0.35">
      <c r="A192" s="68">
        <v>7</v>
      </c>
      <c r="B192" s="28">
        <v>12012504</v>
      </c>
      <c r="C192" s="72" t="s">
        <v>29</v>
      </c>
      <c r="D192" s="71">
        <v>200</v>
      </c>
      <c r="E192" s="70">
        <v>30</v>
      </c>
      <c r="F192" s="69">
        <v>6</v>
      </c>
      <c r="G192" s="25">
        <v>9425</v>
      </c>
      <c r="H192" s="25">
        <v>47125</v>
      </c>
      <c r="I192" s="199">
        <v>282750</v>
      </c>
      <c r="J192" s="204">
        <f t="shared" si="7"/>
        <v>0.2</v>
      </c>
    </row>
    <row r="193" spans="1:10" ht="18.75" customHeight="1" x14ac:dyDescent="0.35">
      <c r="A193" s="68">
        <v>8</v>
      </c>
      <c r="B193" s="23">
        <v>12012505</v>
      </c>
      <c r="C193" s="67" t="s">
        <v>28</v>
      </c>
      <c r="D193" s="66">
        <v>400</v>
      </c>
      <c r="E193" s="47">
        <v>15</v>
      </c>
      <c r="F193" s="46">
        <v>6</v>
      </c>
      <c r="G193" s="20">
        <v>18850</v>
      </c>
      <c r="H193" s="20">
        <v>47125</v>
      </c>
      <c r="I193" s="194">
        <v>282750</v>
      </c>
      <c r="J193" s="204">
        <f t="shared" si="7"/>
        <v>0.4</v>
      </c>
    </row>
    <row r="194" spans="1:10" s="37" customFormat="1" ht="24" customHeight="1" x14ac:dyDescent="0.4">
      <c r="A194" s="65"/>
      <c r="B194" s="65"/>
      <c r="C194" s="17" t="s">
        <v>27</v>
      </c>
      <c r="D194" s="15"/>
      <c r="E194" s="15"/>
      <c r="F194" s="16"/>
      <c r="G194" s="15"/>
      <c r="H194" s="15"/>
      <c r="I194" s="190"/>
      <c r="J194" s="204">
        <f t="shared" si="7"/>
        <v>0</v>
      </c>
    </row>
    <row r="195" spans="1:10" s="64" customFormat="1" ht="24" customHeight="1" x14ac:dyDescent="0.35">
      <c r="A195" s="13"/>
      <c r="B195" s="13"/>
      <c r="C195" s="14" t="s">
        <v>4</v>
      </c>
      <c r="D195" s="13"/>
      <c r="E195" s="13"/>
      <c r="F195" s="13"/>
      <c r="G195" s="12"/>
      <c r="H195" s="12"/>
      <c r="I195" s="191"/>
      <c r="J195" s="204">
        <f t="shared" si="7"/>
        <v>0</v>
      </c>
    </row>
    <row r="196" spans="1:10" ht="18.75" customHeight="1" x14ac:dyDescent="0.35">
      <c r="A196" s="53">
        <v>1</v>
      </c>
      <c r="B196" s="53">
        <v>12030802</v>
      </c>
      <c r="C196" s="52" t="s">
        <v>26</v>
      </c>
      <c r="D196" s="44">
        <v>500</v>
      </c>
      <c r="E196" s="44">
        <v>10</v>
      </c>
      <c r="F196" s="45">
        <v>5</v>
      </c>
      <c r="G196" s="44">
        <v>22025</v>
      </c>
      <c r="H196" s="44">
        <v>44050</v>
      </c>
      <c r="I196" s="198">
        <v>220250</v>
      </c>
      <c r="J196" s="204">
        <f t="shared" si="7"/>
        <v>0.5</v>
      </c>
    </row>
    <row r="197" spans="1:10" ht="18.75" customHeight="1" x14ac:dyDescent="0.35">
      <c r="A197" s="53">
        <v>2</v>
      </c>
      <c r="B197" s="53">
        <v>12030801</v>
      </c>
      <c r="C197" s="52" t="s">
        <v>26</v>
      </c>
      <c r="D197" s="44">
        <v>1000</v>
      </c>
      <c r="E197" s="44">
        <v>5</v>
      </c>
      <c r="F197" s="45">
        <v>5</v>
      </c>
      <c r="G197" s="44">
        <v>43450</v>
      </c>
      <c r="H197" s="44">
        <v>43450</v>
      </c>
      <c r="I197" s="198">
        <v>217250</v>
      </c>
      <c r="J197" s="204">
        <f t="shared" si="7"/>
        <v>1</v>
      </c>
    </row>
    <row r="198" spans="1:10" ht="18.75" customHeight="1" x14ac:dyDescent="0.35">
      <c r="A198" s="53">
        <v>3</v>
      </c>
      <c r="B198" s="53">
        <v>12010801</v>
      </c>
      <c r="C198" s="52" t="s">
        <v>25</v>
      </c>
      <c r="D198" s="44">
        <v>500</v>
      </c>
      <c r="E198" s="44">
        <v>10</v>
      </c>
      <c r="F198" s="45">
        <v>5</v>
      </c>
      <c r="G198" s="44">
        <v>22025</v>
      </c>
      <c r="H198" s="44">
        <v>44050</v>
      </c>
      <c r="I198" s="198">
        <v>220250</v>
      </c>
      <c r="J198" s="204">
        <f t="shared" si="7"/>
        <v>0.5</v>
      </c>
    </row>
    <row r="199" spans="1:10" s="64" customFormat="1" ht="23.25" customHeight="1" x14ac:dyDescent="0.35">
      <c r="A199" s="13"/>
      <c r="B199" s="13"/>
      <c r="C199" s="14" t="s">
        <v>9</v>
      </c>
      <c r="D199" s="13"/>
      <c r="E199" s="13"/>
      <c r="F199" s="13"/>
      <c r="G199" s="12"/>
      <c r="H199" s="12"/>
      <c r="I199" s="191"/>
      <c r="J199" s="204">
        <f t="shared" si="7"/>
        <v>0</v>
      </c>
    </row>
    <row r="200" spans="1:10" ht="18.75" customHeight="1" x14ac:dyDescent="0.35">
      <c r="A200" s="63">
        <v>1</v>
      </c>
      <c r="B200" s="63">
        <v>13010811</v>
      </c>
      <c r="C200" s="62" t="s">
        <v>24</v>
      </c>
      <c r="D200" s="61">
        <v>1000</v>
      </c>
      <c r="E200" s="61">
        <v>10</v>
      </c>
      <c r="F200" s="60">
        <v>10</v>
      </c>
      <c r="G200" s="32">
        <v>44300</v>
      </c>
      <c r="H200" s="32">
        <v>44300</v>
      </c>
      <c r="I200" s="200">
        <v>443000</v>
      </c>
      <c r="J200" s="204">
        <f t="shared" si="7"/>
        <v>1</v>
      </c>
    </row>
    <row r="201" spans="1:10" ht="18.75" customHeight="1" x14ac:dyDescent="0.35">
      <c r="A201" s="59">
        <v>2</v>
      </c>
      <c r="B201" s="59">
        <v>13010809</v>
      </c>
      <c r="C201" s="58" t="s">
        <v>24</v>
      </c>
      <c r="D201" s="57">
        <v>500</v>
      </c>
      <c r="E201" s="56">
        <v>20</v>
      </c>
      <c r="F201" s="55">
        <v>10</v>
      </c>
      <c r="G201" s="32">
        <v>22450</v>
      </c>
      <c r="H201" s="32">
        <v>44900</v>
      </c>
      <c r="I201" s="200">
        <v>449000</v>
      </c>
      <c r="J201" s="204">
        <f t="shared" si="7"/>
        <v>0.5</v>
      </c>
    </row>
    <row r="202" spans="1:10" ht="18.75" customHeight="1" x14ac:dyDescent="0.35">
      <c r="A202" s="42">
        <v>3</v>
      </c>
      <c r="B202" s="42">
        <v>13010818</v>
      </c>
      <c r="C202" s="41" t="s">
        <v>23</v>
      </c>
      <c r="D202" s="39">
        <v>1000</v>
      </c>
      <c r="E202" s="50">
        <v>10</v>
      </c>
      <c r="F202" s="40">
        <v>10</v>
      </c>
      <c r="G202" s="39">
        <v>44300</v>
      </c>
      <c r="H202" s="29">
        <v>44300</v>
      </c>
      <c r="I202" s="196">
        <v>443000</v>
      </c>
      <c r="J202" s="204">
        <f t="shared" si="7"/>
        <v>1</v>
      </c>
    </row>
    <row r="203" spans="1:10" ht="18.75" customHeight="1" x14ac:dyDescent="0.35">
      <c r="A203" s="42">
        <v>4</v>
      </c>
      <c r="B203" s="42">
        <v>13010817</v>
      </c>
      <c r="C203" s="41" t="s">
        <v>22</v>
      </c>
      <c r="D203" s="39">
        <v>500</v>
      </c>
      <c r="E203" s="50">
        <v>20</v>
      </c>
      <c r="F203" s="40">
        <v>10</v>
      </c>
      <c r="G203" s="39">
        <v>22450</v>
      </c>
      <c r="H203" s="29">
        <v>44900</v>
      </c>
      <c r="I203" s="196">
        <v>449000</v>
      </c>
      <c r="J203" s="204">
        <f t="shared" si="7"/>
        <v>0.5</v>
      </c>
    </row>
    <row r="204" spans="1:10" ht="18.75" customHeight="1" x14ac:dyDescent="0.35">
      <c r="A204" s="42">
        <v>5</v>
      </c>
      <c r="B204" s="28">
        <v>13030804</v>
      </c>
      <c r="C204" s="27" t="s">
        <v>21</v>
      </c>
      <c r="D204" s="25">
        <v>500</v>
      </c>
      <c r="E204" s="54">
        <v>10</v>
      </c>
      <c r="F204" s="26">
        <v>5</v>
      </c>
      <c r="G204" s="44">
        <v>20625</v>
      </c>
      <c r="H204" s="44">
        <v>41250</v>
      </c>
      <c r="I204" s="198">
        <v>206250</v>
      </c>
      <c r="J204" s="204">
        <f t="shared" si="7"/>
        <v>0.5</v>
      </c>
    </row>
    <row r="205" spans="1:10" ht="18.75" customHeight="1" x14ac:dyDescent="0.35">
      <c r="A205" s="42">
        <v>6</v>
      </c>
      <c r="B205" s="23">
        <v>13030805</v>
      </c>
      <c r="C205" s="22" t="s">
        <v>21</v>
      </c>
      <c r="D205" s="20">
        <v>1000</v>
      </c>
      <c r="E205" s="54">
        <v>5</v>
      </c>
      <c r="F205" s="21">
        <v>5</v>
      </c>
      <c r="G205" s="44">
        <v>39375</v>
      </c>
      <c r="H205" s="44">
        <v>39375</v>
      </c>
      <c r="I205" s="198">
        <v>196875</v>
      </c>
      <c r="J205" s="204">
        <f t="shared" si="7"/>
        <v>1</v>
      </c>
    </row>
    <row r="206" spans="1:10" ht="18.75" customHeight="1" x14ac:dyDescent="0.35">
      <c r="A206" s="42">
        <v>7</v>
      </c>
      <c r="B206" s="23">
        <v>13010815</v>
      </c>
      <c r="C206" s="22" t="s">
        <v>20</v>
      </c>
      <c r="D206" s="20">
        <v>500</v>
      </c>
      <c r="E206" s="54">
        <v>10</v>
      </c>
      <c r="F206" s="21">
        <v>5</v>
      </c>
      <c r="G206" s="44">
        <v>28575</v>
      </c>
      <c r="H206" s="44">
        <v>57150</v>
      </c>
      <c r="I206" s="198">
        <v>285750</v>
      </c>
      <c r="J206" s="204">
        <f t="shared" si="7"/>
        <v>0.5</v>
      </c>
    </row>
    <row r="207" spans="1:10" ht="18.75" customHeight="1" x14ac:dyDescent="0.35">
      <c r="A207" s="42">
        <v>8</v>
      </c>
      <c r="B207" s="23">
        <v>13010816</v>
      </c>
      <c r="C207" s="22" t="s">
        <v>19</v>
      </c>
      <c r="D207" s="20">
        <v>500</v>
      </c>
      <c r="E207" s="54">
        <v>10</v>
      </c>
      <c r="F207" s="21">
        <v>5</v>
      </c>
      <c r="G207" s="44">
        <v>28575</v>
      </c>
      <c r="H207" s="44">
        <v>57150</v>
      </c>
      <c r="I207" s="198">
        <v>285750</v>
      </c>
      <c r="J207" s="204">
        <f t="shared" si="7"/>
        <v>0.5</v>
      </c>
    </row>
    <row r="208" spans="1:10" ht="18.75" customHeight="1" x14ac:dyDescent="0.35">
      <c r="A208" s="42">
        <v>9</v>
      </c>
      <c r="B208" s="53">
        <v>13050202</v>
      </c>
      <c r="C208" s="52" t="s">
        <v>18</v>
      </c>
      <c r="D208" s="48">
        <v>280</v>
      </c>
      <c r="E208" s="47">
        <v>20</v>
      </c>
      <c r="F208" s="46">
        <v>5.6</v>
      </c>
      <c r="G208" s="44">
        <v>10075</v>
      </c>
      <c r="H208" s="44">
        <v>35982.142857142855</v>
      </c>
      <c r="I208" s="198">
        <v>201500</v>
      </c>
      <c r="J208" s="204">
        <f t="shared" si="7"/>
        <v>0.28000000000000003</v>
      </c>
    </row>
    <row r="209" spans="1:10" ht="18.75" customHeight="1" x14ac:dyDescent="0.35">
      <c r="A209" s="42">
        <v>10</v>
      </c>
      <c r="B209" s="24">
        <v>13050201</v>
      </c>
      <c r="C209" s="31" t="s">
        <v>17</v>
      </c>
      <c r="D209" s="51">
        <v>250</v>
      </c>
      <c r="E209" s="50">
        <v>24</v>
      </c>
      <c r="F209" s="49">
        <v>6</v>
      </c>
      <c r="G209" s="29">
        <v>9600</v>
      </c>
      <c r="H209" s="44">
        <v>38400</v>
      </c>
      <c r="I209" s="195">
        <v>230400</v>
      </c>
      <c r="J209" s="204">
        <f t="shared" ref="J209:J233" si="8">D209/1000</f>
        <v>0.25</v>
      </c>
    </row>
    <row r="210" spans="1:10" s="37" customFormat="1" ht="24" customHeight="1" x14ac:dyDescent="0.4">
      <c r="A210" s="19"/>
      <c r="B210" s="18"/>
      <c r="C210" s="17" t="s">
        <v>16</v>
      </c>
      <c r="D210" s="15"/>
      <c r="E210" s="15"/>
      <c r="F210" s="16"/>
      <c r="G210" s="15"/>
      <c r="H210" s="15"/>
      <c r="I210" s="190"/>
      <c r="J210" s="204">
        <f t="shared" si="8"/>
        <v>0</v>
      </c>
    </row>
    <row r="211" spans="1:10" s="37" customFormat="1" ht="24.75" customHeight="1" x14ac:dyDescent="0.35">
      <c r="A211" s="12"/>
      <c r="B211" s="13"/>
      <c r="C211" s="14" t="s">
        <v>4</v>
      </c>
      <c r="D211" s="13"/>
      <c r="E211" s="13"/>
      <c r="F211" s="13"/>
      <c r="G211" s="12"/>
      <c r="H211" s="12"/>
      <c r="I211" s="191"/>
      <c r="J211" s="204">
        <f t="shared" si="8"/>
        <v>0</v>
      </c>
    </row>
    <row r="212" spans="1:10" s="37" customFormat="1" ht="18.75" customHeight="1" x14ac:dyDescent="0.35">
      <c r="A212" s="43">
        <v>1</v>
      </c>
      <c r="B212" s="23">
        <v>12032203</v>
      </c>
      <c r="C212" s="22" t="s">
        <v>15</v>
      </c>
      <c r="D212" s="48">
        <v>250</v>
      </c>
      <c r="E212" s="47">
        <v>20</v>
      </c>
      <c r="F212" s="46">
        <v>5</v>
      </c>
      <c r="G212" s="44">
        <v>9680</v>
      </c>
      <c r="H212" s="44">
        <v>38720</v>
      </c>
      <c r="I212" s="198">
        <v>193600</v>
      </c>
      <c r="J212" s="204">
        <f t="shared" si="8"/>
        <v>0.25</v>
      </c>
    </row>
    <row r="213" spans="1:10" s="37" customFormat="1" ht="18.75" customHeight="1" x14ac:dyDescent="0.35">
      <c r="A213" s="43">
        <v>2</v>
      </c>
      <c r="B213" s="28">
        <v>12032201</v>
      </c>
      <c r="C213" s="22" t="s">
        <v>14</v>
      </c>
      <c r="D213" s="44">
        <v>500</v>
      </c>
      <c r="E213" s="44">
        <v>10</v>
      </c>
      <c r="F213" s="45">
        <v>5</v>
      </c>
      <c r="G213" s="44">
        <v>19125</v>
      </c>
      <c r="H213" s="44">
        <v>38250</v>
      </c>
      <c r="I213" s="198">
        <v>191250</v>
      </c>
      <c r="J213" s="204">
        <f t="shared" si="8"/>
        <v>0.5</v>
      </c>
    </row>
    <row r="214" spans="1:10" s="37" customFormat="1" ht="18.75" customHeight="1" x14ac:dyDescent="0.35">
      <c r="A214" s="43">
        <v>3</v>
      </c>
      <c r="B214" s="28">
        <v>12032202</v>
      </c>
      <c r="C214" s="22" t="s">
        <v>14</v>
      </c>
      <c r="D214" s="44">
        <v>1000</v>
      </c>
      <c r="E214" s="44">
        <v>5</v>
      </c>
      <c r="F214" s="45">
        <v>5</v>
      </c>
      <c r="G214" s="44">
        <v>36000</v>
      </c>
      <c r="H214" s="44">
        <v>36000</v>
      </c>
      <c r="I214" s="198">
        <v>180000</v>
      </c>
      <c r="J214" s="204">
        <f t="shared" si="8"/>
        <v>1</v>
      </c>
    </row>
    <row r="215" spans="1:10" s="37" customFormat="1" ht="18.75" customHeight="1" x14ac:dyDescent="0.35">
      <c r="A215" s="43">
        <v>4</v>
      </c>
      <c r="B215" s="23">
        <v>12012203</v>
      </c>
      <c r="C215" s="22" t="s">
        <v>13</v>
      </c>
      <c r="D215" s="48">
        <v>250</v>
      </c>
      <c r="E215" s="47">
        <v>20</v>
      </c>
      <c r="F215" s="46">
        <v>5</v>
      </c>
      <c r="G215" s="44">
        <v>9680</v>
      </c>
      <c r="H215" s="44">
        <v>38720</v>
      </c>
      <c r="I215" s="198">
        <v>193600</v>
      </c>
      <c r="J215" s="204">
        <f t="shared" si="8"/>
        <v>0.25</v>
      </c>
    </row>
    <row r="216" spans="1:10" s="37" customFormat="1" ht="18.75" customHeight="1" x14ac:dyDescent="0.35">
      <c r="A216" s="43">
        <v>5</v>
      </c>
      <c r="B216" s="28">
        <v>12012201</v>
      </c>
      <c r="C216" s="22" t="s">
        <v>13</v>
      </c>
      <c r="D216" s="44">
        <v>500</v>
      </c>
      <c r="E216" s="44">
        <v>10</v>
      </c>
      <c r="F216" s="45">
        <v>5</v>
      </c>
      <c r="G216" s="44">
        <v>19125</v>
      </c>
      <c r="H216" s="44">
        <v>38250</v>
      </c>
      <c r="I216" s="198">
        <v>191250</v>
      </c>
      <c r="J216" s="204">
        <f t="shared" si="8"/>
        <v>0.5</v>
      </c>
    </row>
    <row r="217" spans="1:10" s="37" customFormat="1" ht="18.75" customHeight="1" x14ac:dyDescent="0.35">
      <c r="A217" s="43">
        <v>6</v>
      </c>
      <c r="B217" s="28">
        <v>12012202</v>
      </c>
      <c r="C217" s="22" t="s">
        <v>13</v>
      </c>
      <c r="D217" s="44">
        <v>1000</v>
      </c>
      <c r="E217" s="44">
        <v>5</v>
      </c>
      <c r="F217" s="45">
        <v>5</v>
      </c>
      <c r="G217" s="44">
        <v>36000</v>
      </c>
      <c r="H217" s="44">
        <v>36000</v>
      </c>
      <c r="I217" s="198">
        <v>180000</v>
      </c>
      <c r="J217" s="204">
        <f t="shared" si="8"/>
        <v>1</v>
      </c>
    </row>
    <row r="218" spans="1:10" s="37" customFormat="1" ht="18.75" customHeight="1" x14ac:dyDescent="0.35">
      <c r="A218" s="43">
        <v>7</v>
      </c>
      <c r="B218" s="42">
        <v>12012204</v>
      </c>
      <c r="C218" s="41" t="s">
        <v>12</v>
      </c>
      <c r="D218" s="39">
        <v>250</v>
      </c>
      <c r="E218" s="39">
        <v>20</v>
      </c>
      <c r="F218" s="40">
        <v>5</v>
      </c>
      <c r="G218" s="39">
        <v>9700</v>
      </c>
      <c r="H218" s="29">
        <v>38800</v>
      </c>
      <c r="I218" s="195">
        <v>194000</v>
      </c>
      <c r="J218" s="204">
        <f t="shared" si="8"/>
        <v>0.25</v>
      </c>
    </row>
    <row r="219" spans="1:10" s="37" customFormat="1" ht="18.75" customHeight="1" x14ac:dyDescent="0.35">
      <c r="A219" s="43">
        <v>8</v>
      </c>
      <c r="B219" s="42">
        <v>12012205</v>
      </c>
      <c r="C219" s="41" t="s">
        <v>11</v>
      </c>
      <c r="D219" s="39">
        <v>450</v>
      </c>
      <c r="E219" s="39">
        <v>10</v>
      </c>
      <c r="F219" s="40">
        <v>4.5</v>
      </c>
      <c r="G219" s="39">
        <v>17399.9997</v>
      </c>
      <c r="H219" s="29">
        <v>38666.665999999997</v>
      </c>
      <c r="I219" s="195">
        <v>173999.997</v>
      </c>
      <c r="J219" s="204">
        <f t="shared" si="8"/>
        <v>0.45</v>
      </c>
    </row>
    <row r="220" spans="1:10" s="37" customFormat="1" ht="18.75" customHeight="1" x14ac:dyDescent="0.35">
      <c r="A220" s="43">
        <v>9</v>
      </c>
      <c r="B220" s="42">
        <v>12012206</v>
      </c>
      <c r="C220" s="41" t="s">
        <v>10</v>
      </c>
      <c r="D220" s="39">
        <v>1000</v>
      </c>
      <c r="E220" s="39">
        <v>5</v>
      </c>
      <c r="F220" s="40">
        <v>5</v>
      </c>
      <c r="G220" s="39">
        <v>36000</v>
      </c>
      <c r="H220" s="29">
        <v>36000</v>
      </c>
      <c r="I220" s="195">
        <v>180000</v>
      </c>
      <c r="J220" s="204">
        <f t="shared" si="8"/>
        <v>1</v>
      </c>
    </row>
    <row r="221" spans="1:10" s="37" customFormat="1" ht="25.5" customHeight="1" x14ac:dyDescent="0.35">
      <c r="A221" s="38"/>
      <c r="B221" s="13"/>
      <c r="C221" s="14" t="s">
        <v>9</v>
      </c>
      <c r="D221" s="13"/>
      <c r="E221" s="13"/>
      <c r="F221" s="13"/>
      <c r="G221" s="12"/>
      <c r="H221" s="12"/>
      <c r="I221" s="191"/>
      <c r="J221" s="204">
        <f t="shared" si="8"/>
        <v>0</v>
      </c>
    </row>
    <row r="222" spans="1:10" ht="18.75" customHeight="1" x14ac:dyDescent="0.35">
      <c r="A222" s="36">
        <v>1</v>
      </c>
      <c r="B222" s="35">
        <v>13012206</v>
      </c>
      <c r="C222" s="34" t="s">
        <v>6</v>
      </c>
      <c r="D222" s="32">
        <v>500</v>
      </c>
      <c r="E222" s="32">
        <v>20</v>
      </c>
      <c r="F222" s="33">
        <v>10</v>
      </c>
      <c r="G222" s="32">
        <v>19525</v>
      </c>
      <c r="H222" s="32">
        <v>39050</v>
      </c>
      <c r="I222" s="200">
        <v>390500</v>
      </c>
      <c r="J222" s="204">
        <f t="shared" si="8"/>
        <v>0.5</v>
      </c>
    </row>
    <row r="223" spans="1:10" ht="18.75" customHeight="1" x14ac:dyDescent="0.35">
      <c r="A223" s="35">
        <v>2</v>
      </c>
      <c r="B223" s="35">
        <v>13012208</v>
      </c>
      <c r="C223" s="34" t="s">
        <v>6</v>
      </c>
      <c r="D223" s="32">
        <v>1000</v>
      </c>
      <c r="E223" s="32">
        <v>10</v>
      </c>
      <c r="F223" s="33">
        <v>10</v>
      </c>
      <c r="G223" s="32">
        <v>38500</v>
      </c>
      <c r="H223" s="32">
        <v>38500</v>
      </c>
      <c r="I223" s="200">
        <v>385000</v>
      </c>
      <c r="J223" s="204">
        <f t="shared" si="8"/>
        <v>1</v>
      </c>
    </row>
    <row r="224" spans="1:10" ht="18.75" customHeight="1" x14ac:dyDescent="0.35">
      <c r="A224" s="24">
        <v>3</v>
      </c>
      <c r="B224" s="24">
        <v>13012209</v>
      </c>
      <c r="C224" s="31" t="s">
        <v>8</v>
      </c>
      <c r="D224" s="29">
        <v>500</v>
      </c>
      <c r="E224" s="29">
        <v>20</v>
      </c>
      <c r="F224" s="30">
        <v>10</v>
      </c>
      <c r="G224" s="29">
        <v>19525</v>
      </c>
      <c r="H224" s="29">
        <v>39050</v>
      </c>
      <c r="I224" s="195">
        <v>390500</v>
      </c>
      <c r="J224" s="204">
        <f t="shared" si="8"/>
        <v>0.5</v>
      </c>
    </row>
    <row r="225" spans="1:10" ht="18.75" customHeight="1" x14ac:dyDescent="0.35">
      <c r="A225" s="24">
        <v>4</v>
      </c>
      <c r="B225" s="24">
        <v>13012210</v>
      </c>
      <c r="C225" s="31" t="s">
        <v>7</v>
      </c>
      <c r="D225" s="29">
        <v>1000</v>
      </c>
      <c r="E225" s="29">
        <v>10</v>
      </c>
      <c r="F225" s="30">
        <v>10</v>
      </c>
      <c r="G225" s="29">
        <v>38500</v>
      </c>
      <c r="H225" s="29">
        <v>38500</v>
      </c>
      <c r="I225" s="195">
        <v>385000</v>
      </c>
      <c r="J225" s="204">
        <f t="shared" si="8"/>
        <v>1</v>
      </c>
    </row>
    <row r="226" spans="1:10" ht="18.75" customHeight="1" x14ac:dyDescent="0.35">
      <c r="A226" s="24">
        <v>5</v>
      </c>
      <c r="B226" s="28">
        <v>13012205</v>
      </c>
      <c r="C226" s="27" t="s">
        <v>6</v>
      </c>
      <c r="D226" s="25">
        <v>375</v>
      </c>
      <c r="E226" s="25">
        <v>15</v>
      </c>
      <c r="F226" s="26">
        <v>5.625</v>
      </c>
      <c r="G226" s="25">
        <v>14050</v>
      </c>
      <c r="H226" s="25">
        <v>37466.666666666664</v>
      </c>
      <c r="I226" s="199">
        <v>210750</v>
      </c>
      <c r="J226" s="204">
        <f t="shared" si="8"/>
        <v>0.375</v>
      </c>
    </row>
    <row r="227" spans="1:10" ht="18.75" customHeight="1" x14ac:dyDescent="0.35">
      <c r="A227" s="24">
        <v>6</v>
      </c>
      <c r="B227" s="23">
        <v>13012207</v>
      </c>
      <c r="C227" s="22" t="s">
        <v>6</v>
      </c>
      <c r="D227" s="20">
        <v>750</v>
      </c>
      <c r="E227" s="20">
        <v>8</v>
      </c>
      <c r="F227" s="21">
        <v>6</v>
      </c>
      <c r="G227" s="20">
        <v>27825</v>
      </c>
      <c r="H227" s="20">
        <v>37100</v>
      </c>
      <c r="I227" s="194">
        <v>222600</v>
      </c>
      <c r="J227" s="204">
        <f t="shared" si="8"/>
        <v>0.75</v>
      </c>
    </row>
    <row r="228" spans="1:10" ht="18.75" customHeight="1" x14ac:dyDescent="0.4">
      <c r="A228" s="19"/>
      <c r="B228" s="18"/>
      <c r="C228" s="17" t="s">
        <v>5</v>
      </c>
      <c r="D228" s="15"/>
      <c r="E228" s="15"/>
      <c r="F228" s="16"/>
      <c r="G228" s="15"/>
      <c r="H228" s="15"/>
      <c r="I228" s="190"/>
      <c r="J228" s="204">
        <f t="shared" si="8"/>
        <v>0</v>
      </c>
    </row>
    <row r="229" spans="1:10" ht="18.75" customHeight="1" x14ac:dyDescent="0.35">
      <c r="A229" s="12"/>
      <c r="B229" s="13"/>
      <c r="C229" s="14" t="s">
        <v>4</v>
      </c>
      <c r="D229" s="13"/>
      <c r="E229" s="13"/>
      <c r="F229" s="13"/>
      <c r="G229" s="12"/>
      <c r="H229" s="12"/>
      <c r="I229" s="191"/>
      <c r="J229" s="204">
        <f t="shared" si="8"/>
        <v>0</v>
      </c>
    </row>
    <row r="230" spans="1:10" ht="18.75" customHeight="1" x14ac:dyDescent="0.35">
      <c r="A230" s="10"/>
      <c r="B230" s="10"/>
      <c r="C230" s="11" t="s">
        <v>3</v>
      </c>
      <c r="D230" s="10"/>
      <c r="E230" s="10"/>
      <c r="F230" s="10"/>
      <c r="G230" s="10"/>
      <c r="H230" s="10"/>
      <c r="I230" s="201"/>
      <c r="J230" s="204">
        <f t="shared" si="8"/>
        <v>0</v>
      </c>
    </row>
    <row r="231" spans="1:10" ht="18.75" customHeight="1" x14ac:dyDescent="0.35">
      <c r="A231" s="9">
        <v>1</v>
      </c>
      <c r="B231" s="8">
        <v>12012703</v>
      </c>
      <c r="C231" s="7" t="s">
        <v>2</v>
      </c>
      <c r="D231" s="6">
        <v>250</v>
      </c>
      <c r="E231" s="5">
        <v>20</v>
      </c>
      <c r="F231" s="4">
        <v>5</v>
      </c>
      <c r="G231" s="3">
        <v>8500</v>
      </c>
      <c r="H231" s="2">
        <v>34000</v>
      </c>
      <c r="I231" s="202">
        <v>170000</v>
      </c>
      <c r="J231" s="204">
        <f t="shared" si="8"/>
        <v>0.25</v>
      </c>
    </row>
    <row r="232" spans="1:10" ht="18.75" customHeight="1" x14ac:dyDescent="0.35">
      <c r="A232" s="9">
        <v>2</v>
      </c>
      <c r="B232" s="8">
        <v>12012701</v>
      </c>
      <c r="C232" s="7" t="s">
        <v>1</v>
      </c>
      <c r="D232" s="6">
        <v>450</v>
      </c>
      <c r="E232" s="5">
        <v>12</v>
      </c>
      <c r="F232" s="4">
        <v>5.4</v>
      </c>
      <c r="G232" s="3">
        <v>15075</v>
      </c>
      <c r="H232" s="2">
        <v>33500</v>
      </c>
      <c r="I232" s="202">
        <v>180900</v>
      </c>
      <c r="J232" s="204">
        <f t="shared" si="8"/>
        <v>0.45</v>
      </c>
    </row>
    <row r="233" spans="1:10" ht="18.75" customHeight="1" x14ac:dyDescent="0.35">
      <c r="A233" s="9">
        <v>3</v>
      </c>
      <c r="B233" s="8">
        <v>12012702</v>
      </c>
      <c r="C233" s="7" t="s">
        <v>0</v>
      </c>
      <c r="D233" s="6">
        <v>1000</v>
      </c>
      <c r="E233" s="5">
        <v>5</v>
      </c>
      <c r="F233" s="4">
        <v>5</v>
      </c>
      <c r="G233" s="3">
        <v>33000</v>
      </c>
      <c r="H233" s="2">
        <v>33000</v>
      </c>
      <c r="I233" s="202">
        <v>165000</v>
      </c>
      <c r="J233" s="204">
        <f t="shared" si="8"/>
        <v>1</v>
      </c>
    </row>
  </sheetData>
  <printOptions horizontalCentered="1"/>
  <pageMargins left="0" right="0" top="0" bottom="0" header="0.51180555555555596" footer="0.51180555555555596"/>
  <pageSetup paperSize="9" scale="68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master_PL</vt:lpstr>
      <vt:lpstr>master LP</vt:lpstr>
      <vt:lpstr>'master LP'!Print_Area</vt:lpstr>
      <vt:lpstr>master_PL!Print_Area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josua.pane@cp.co.id</dc:creator>
  <cp:lastModifiedBy>Josua Pane</cp:lastModifiedBy>
  <dcterms:created xsi:type="dcterms:W3CDTF">2026-05-17T17:32:24Z</dcterms:created>
  <dcterms:modified xsi:type="dcterms:W3CDTF">2026-06-19T02:42:55Z</dcterms:modified>
</cp:coreProperties>
</file>